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linoyh\Downloads\"/>
    </mc:Choice>
  </mc:AlternateContent>
  <xr:revisionPtr revIDLastSave="0" documentId="13_ncr:1_{2441D459-5793-4DFF-A878-85EF085296F5}"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6" i="1" l="1"/>
  <c r="Q17" i="1"/>
  <c r="Q18" i="1"/>
  <c r="Q19" i="1"/>
  <c r="Q20" i="1"/>
  <c r="Q21" i="1"/>
  <c r="Q22" i="1"/>
  <c r="Q23" i="1"/>
  <c r="Q24" i="1"/>
  <c r="Q15"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 i="1"/>
  <c r="S12" i="1"/>
  <c r="S9" i="1"/>
  <c r="S8" i="1"/>
  <c r="S7" i="1"/>
  <c r="S6" i="1"/>
  <c r="S10" i="1" l="1"/>
</calcChain>
</file>

<file path=xl/sharedStrings.xml><?xml version="1.0" encoding="utf-8"?>
<sst xmlns="http://schemas.openxmlformats.org/spreadsheetml/2006/main" count="2448" uniqueCount="1513">
  <si>
    <t>sample_id</t>
  </si>
  <si>
    <t>dataset</t>
  </si>
  <si>
    <t>frame_path</t>
  </si>
  <si>
    <t>clip_path</t>
  </si>
  <si>
    <t>model</t>
  </si>
  <si>
    <t>scene_summary</t>
  </si>
  <si>
    <t>objects</t>
  </si>
  <si>
    <t>anomalies</t>
  </si>
  <si>
    <t>overall_risk_score_1_to_10</t>
  </si>
  <si>
    <t>notes</t>
  </si>
  <si>
    <t>Night/Image003.png</t>
  </si>
  <si>
    <t>Night/Image020.png</t>
  </si>
  <si>
    <t>Night/Image091.png</t>
  </si>
  <si>
    <t>Night/Image063.png</t>
  </si>
  <si>
    <t>Night/Image231.png</t>
  </si>
  <si>
    <t>Night/Image253.png</t>
  </si>
  <si>
    <t>Night/Image056.png</t>
  </si>
  <si>
    <t>Night/Image090.png</t>
  </si>
  <si>
    <t>Night/Image053.png</t>
  </si>
  <si>
    <t>Night/Image012.png</t>
  </si>
  <si>
    <t>Night/Image140.png</t>
  </si>
  <si>
    <t>Night/Image101.png</t>
  </si>
  <si>
    <t>Night/Image055.png</t>
  </si>
  <si>
    <t>Night/Image146.png</t>
  </si>
  <si>
    <t>Night/Image240.png</t>
  </si>
  <si>
    <t>Night/Image207.png</t>
  </si>
  <si>
    <t>Night/Image160.png</t>
  </si>
  <si>
    <t>Night/Image166.png</t>
  </si>
  <si>
    <t>Night/Image245.png</t>
  </si>
  <si>
    <t>Night/Image080.png</t>
  </si>
  <si>
    <t>Night/Image169.png</t>
  </si>
  <si>
    <t>Night/Image217.png</t>
  </si>
  <si>
    <t>Night/Image191.png</t>
  </si>
  <si>
    <t>Night/Image127.png</t>
  </si>
  <si>
    <t>Night/Image264.png</t>
  </si>
  <si>
    <t>Night/Image086.png</t>
  </si>
  <si>
    <t>Night/Image130.png</t>
  </si>
  <si>
    <t>Night/Image254.png</t>
  </si>
  <si>
    <t>Night/Image126.png</t>
  </si>
  <si>
    <t>Night/Image246.png</t>
  </si>
  <si>
    <t>Night/Image161.png</t>
  </si>
  <si>
    <t>Night/Image131.png</t>
  </si>
  <si>
    <t>Night/Image218.png</t>
  </si>
  <si>
    <t>Night/Image251.png</t>
  </si>
  <si>
    <t>Night/Image195.png</t>
  </si>
  <si>
    <t>Night/Image072.png</t>
  </si>
  <si>
    <t>Night/Image030.png</t>
  </si>
  <si>
    <t>Night/Image045.png</t>
  </si>
  <si>
    <t>Night/Image092.png</t>
  </si>
  <si>
    <t>Night/Image104.png</t>
  </si>
  <si>
    <t>Night/Image059.png</t>
  </si>
  <si>
    <t>Night/Image043.png</t>
  </si>
  <si>
    <t>Night/Image004.png</t>
  </si>
  <si>
    <t>Night/Image204.png</t>
  </si>
  <si>
    <t>Night/Image143.png</t>
  </si>
  <si>
    <t>Night/Image047.png</t>
  </si>
  <si>
    <t>Night/Image031.png</t>
  </si>
  <si>
    <t>Night/Image256.png</t>
  </si>
  <si>
    <t>Night/Image184.png</t>
  </si>
  <si>
    <t>Night/Image236.png</t>
  </si>
  <si>
    <t>Night/Image006.png</t>
  </si>
  <si>
    <t>Night/Image170.png</t>
  </si>
  <si>
    <t>Night/Image113.png</t>
  </si>
  <si>
    <t>Night/Image263.png</t>
  </si>
  <si>
    <t>Night/Image016.png</t>
  </si>
  <si>
    <t>Night/Image182.png</t>
  </si>
  <si>
    <t>Night/Image219.png</t>
  </si>
  <si>
    <t>Night/Image083.png</t>
  </si>
  <si>
    <t>Night/Image027.png</t>
  </si>
  <si>
    <t>Night/Image215.png</t>
  </si>
  <si>
    <t>Night/Image138.png</t>
  </si>
  <si>
    <t>Night/Image005.png</t>
  </si>
  <si>
    <t>Night/Image134.png</t>
  </si>
  <si>
    <t>Night/Image228.png</t>
  </si>
  <si>
    <t>Night/Image232.png</t>
  </si>
  <si>
    <t>Night/Image181.png</t>
  </si>
  <si>
    <t>Night/Image087.png</t>
  </si>
  <si>
    <t>Night/Image152.png</t>
  </si>
  <si>
    <t>Night/Image061.png</t>
  </si>
  <si>
    <t>Night/Image075.png</t>
  </si>
  <si>
    <t>Night/Image210.png</t>
  </si>
  <si>
    <t>Night/Image157.png</t>
  </si>
  <si>
    <t>Night/Image221.png</t>
  </si>
  <si>
    <t>Night/Image017.png</t>
  </si>
  <si>
    <t>Night/Image226.png</t>
  </si>
  <si>
    <t>Night/Image098.png</t>
  </si>
  <si>
    <t>Night/Image121.png</t>
  </si>
  <si>
    <t>Night/Image119.png</t>
  </si>
  <si>
    <t>Night/Image230.png</t>
  </si>
  <si>
    <t>Night/Image185.png</t>
  </si>
  <si>
    <t>Night/Image238.png</t>
  </si>
  <si>
    <t>Night/Image176.png</t>
  </si>
  <si>
    <t>Night/Image118.png</t>
  </si>
  <si>
    <t>Night/Image266.png</t>
  </si>
  <si>
    <t>Night/Image035.png</t>
  </si>
  <si>
    <t>Night/Image074.png</t>
  </si>
  <si>
    <t>Night/Image154.png</t>
  </si>
  <si>
    <t>Night/Image008.png</t>
  </si>
  <si>
    <t>Night/Image060.png</t>
  </si>
  <si>
    <t>Night/Image067.png</t>
  </si>
  <si>
    <t>Night/Image156.png</t>
  </si>
  <si>
    <t>Night/Image200.png</t>
  </si>
  <si>
    <t>Night/Image192.png</t>
  </si>
  <si>
    <t>Night/Image178.png</t>
  </si>
  <si>
    <t>Night/Image220.png</t>
  </si>
  <si>
    <t>Night/Image054.png</t>
  </si>
  <si>
    <t>Night/Image149.png</t>
  </si>
  <si>
    <t>Night/Image164.png</t>
  </si>
  <si>
    <t>Night/Image036.png</t>
  </si>
  <si>
    <t>Night/Image241.png</t>
  </si>
  <si>
    <t>Night/Image213.png</t>
  </si>
  <si>
    <t>Night/Image174.png</t>
  </si>
  <si>
    <t>Night/Image122.png</t>
  </si>
  <si>
    <t>Night/Image168.png</t>
  </si>
  <si>
    <t>Night/Image108.png</t>
  </si>
  <si>
    <t>Night/Image159.png</t>
  </si>
  <si>
    <t>Night/Image057.png</t>
  </si>
  <si>
    <t>Night/Image112.png</t>
  </si>
  <si>
    <t>Night/Image167.png</t>
  </si>
  <si>
    <t>Night/Image183.png</t>
  </si>
  <si>
    <t>Night/Image133.png</t>
  </si>
  <si>
    <t>Night/Image019.png</t>
  </si>
  <si>
    <t>Night/Image247.png</t>
  </si>
  <si>
    <t>Night/Image172.png</t>
  </si>
  <si>
    <t>Night/Image145.png</t>
  </si>
  <si>
    <t>Night/Image222.png</t>
  </si>
  <si>
    <t>Night/Image194.png</t>
  </si>
  <si>
    <t>Night/Image095.png</t>
  </si>
  <si>
    <t>Night/Image076.png</t>
  </si>
  <si>
    <t>Night/Image094.png</t>
  </si>
  <si>
    <t>Night/Image107.png</t>
  </si>
  <si>
    <t>Night/Image103.png</t>
  </si>
  <si>
    <t>Night/Image115.png</t>
  </si>
  <si>
    <t>Night/Image110.png</t>
  </si>
  <si>
    <t>Night/Image201.png</t>
  </si>
  <si>
    <t>Night/Image257.png</t>
  </si>
  <si>
    <t>Night/Image040.png</t>
  </si>
  <si>
    <t>Night/Image203.png</t>
  </si>
  <si>
    <t>Night/Image007.png</t>
  </si>
  <si>
    <t>Night/Image009.png</t>
  </si>
  <si>
    <t>Night/Image258.png</t>
  </si>
  <si>
    <t>Night/Image073.png</t>
  </si>
  <si>
    <t>Night/Image137.png</t>
  </si>
  <si>
    <t>Night/Image046.png</t>
  </si>
  <si>
    <t>Night/Image039.png</t>
  </si>
  <si>
    <t>Night/Image139.png</t>
  </si>
  <si>
    <t>Night/Image142.png</t>
  </si>
  <si>
    <t>Night/Image010.png</t>
  </si>
  <si>
    <t>Night/Image190.png</t>
  </si>
  <si>
    <t>Night/Image093.png</t>
  </si>
  <si>
    <t>Night/Image018.png</t>
  </si>
  <si>
    <t>Night/Image105.png</t>
  </si>
  <si>
    <t>Night/Image171.png</t>
  </si>
  <si>
    <t>Night/Image117.png</t>
  </si>
  <si>
    <t>Night/Image155.png</t>
  </si>
  <si>
    <t>Night/Image198.png</t>
  </si>
  <si>
    <t>Night/Image260.png</t>
  </si>
  <si>
    <t>Night/Image069.png</t>
  </si>
  <si>
    <t>Night/Image062.png</t>
  </si>
  <si>
    <t>Night/Image239.png</t>
  </si>
  <si>
    <t>Night/Image097.png</t>
  </si>
  <si>
    <t>Night/Image225.png</t>
  </si>
  <si>
    <t>Night/Image024.png</t>
  </si>
  <si>
    <t>Night/Image109.png</t>
  </si>
  <si>
    <t>Night/Image085.png</t>
  </si>
  <si>
    <t>Night/Image002.png</t>
  </si>
  <si>
    <t>Night/Image158.png</t>
  </si>
  <si>
    <t>Night/Image064.png</t>
  </si>
  <si>
    <t>Night/Image262.png</t>
  </si>
  <si>
    <t>Night/Image021.png</t>
  </si>
  <si>
    <t>Night/Image202.png</t>
  </si>
  <si>
    <t>Night/Image051.png</t>
  </si>
  <si>
    <t>Night/Image102.png</t>
  </si>
  <si>
    <t>Night/Image023.png</t>
  </si>
  <si>
    <t>Night/Image100.png</t>
  </si>
  <si>
    <t>Night/Image096.png</t>
  </si>
  <si>
    <t>Night/Image066.png</t>
  </si>
  <si>
    <t>Night/Image242.png</t>
  </si>
  <si>
    <t>Night/Image120.png</t>
  </si>
  <si>
    <t>Night/Image025.png</t>
  </si>
  <si>
    <t>Night/Image136.png</t>
  </si>
  <si>
    <t>Night/Image088.png</t>
  </si>
  <si>
    <t>Night/Image029.png</t>
  </si>
  <si>
    <t>Night/Image042.png</t>
  </si>
  <si>
    <t>Night/Image255.png</t>
  </si>
  <si>
    <t>Night/Image116.png</t>
  </si>
  <si>
    <t>Night/Image187.png</t>
  </si>
  <si>
    <t>Night/Image049.png</t>
  </si>
  <si>
    <t>Night/Image234.png</t>
  </si>
  <si>
    <t>Night/Image135.png</t>
  </si>
  <si>
    <t>Night/Image081.png</t>
  </si>
  <si>
    <t>Night/Image162.png</t>
  </si>
  <si>
    <t>Night/Image208.png</t>
  </si>
  <si>
    <t>Night/Image177.png</t>
  </si>
  <si>
    <t>Night/Image037.png</t>
  </si>
  <si>
    <t>Night/Image148.png</t>
  </si>
  <si>
    <t>Night/Image041.png</t>
  </si>
  <si>
    <t>Night/Image223.png</t>
  </si>
  <si>
    <t>Night/Image212.png</t>
  </si>
  <si>
    <t>Night/Image250.png</t>
  </si>
  <si>
    <t>Night/Image153.png</t>
  </si>
  <si>
    <t>Night/Image224.png</t>
  </si>
  <si>
    <t>Night/Image175.png</t>
  </si>
  <si>
    <t>Night/Image084.png</t>
  </si>
  <si>
    <t>Night/Image186.png</t>
  </si>
  <si>
    <t>Night/Image179.png</t>
  </si>
  <si>
    <t>Night/Image128.png</t>
  </si>
  <si>
    <t>Night/Image071.png</t>
  </si>
  <si>
    <t>Night/Image014.png</t>
  </si>
  <si>
    <t>Night/Image022.png</t>
  </si>
  <si>
    <t>Night/Image189.png</t>
  </si>
  <si>
    <t>Night/Image013.png</t>
  </si>
  <si>
    <t>Night/Image229.png</t>
  </si>
  <si>
    <t>Night/Image068.png</t>
  </si>
  <si>
    <t>Night/Image052.png</t>
  </si>
  <si>
    <t>Night/Image034.png</t>
  </si>
  <si>
    <t>Night/Image077.png</t>
  </si>
  <si>
    <t>Night/Image032.png</t>
  </si>
  <si>
    <t>Night/Image243.png</t>
  </si>
  <si>
    <t>Night/Image058.png</t>
  </si>
  <si>
    <t>Night/Image111.png</t>
  </si>
  <si>
    <t>Night/Image244.png</t>
  </si>
  <si>
    <t>Night/Image141.png</t>
  </si>
  <si>
    <t>Night/Image050.png</t>
  </si>
  <si>
    <t>Night/Image265.png</t>
  </si>
  <si>
    <t>Night/Image001.png</t>
  </si>
  <si>
    <t>Night/Image065.png</t>
  </si>
  <si>
    <t>Night/Image248.png</t>
  </si>
  <si>
    <t>Night/Image199.png</t>
  </si>
  <si>
    <t>Night/Image261.png</t>
  </si>
  <si>
    <t>Night/Image180.png</t>
  </si>
  <si>
    <t>Night/Image114.png</t>
  </si>
  <si>
    <t>Night/Image132.png</t>
  </si>
  <si>
    <t>Night/Image089.png</t>
  </si>
  <si>
    <t>Night/Image173.png</t>
  </si>
  <si>
    <t>Night/Image144.png</t>
  </si>
  <si>
    <t>Night/Image048.png</t>
  </si>
  <si>
    <t>Night/Image197.png</t>
  </si>
  <si>
    <t>Night/Image235.png</t>
  </si>
  <si>
    <t>Night/Image044.png</t>
  </si>
  <si>
    <t>Night/Image165.png</t>
  </si>
  <si>
    <t>Night/Image196.png</t>
  </si>
  <si>
    <t>Night/Image193.png</t>
  </si>
  <si>
    <t>Night/Image078.png</t>
  </si>
  <si>
    <t>Night/Image216.png</t>
  </si>
  <si>
    <t>Night/Image214.png</t>
  </si>
  <si>
    <t>Night/Image038.png</t>
  </si>
  <si>
    <t>Night/Image015.png</t>
  </si>
  <si>
    <t>Night/Image070.png</t>
  </si>
  <si>
    <t>Night/Image099.png</t>
  </si>
  <si>
    <t>Night/Image151.png</t>
  </si>
  <si>
    <t>Night/Image124.png</t>
  </si>
  <si>
    <t>Night/Image026.png</t>
  </si>
  <si>
    <t>Night/Image237.png</t>
  </si>
  <si>
    <t>Night/Image227.png</t>
  </si>
  <si>
    <t>Night/Image211.png</t>
  </si>
  <si>
    <t>Night/Image123.png</t>
  </si>
  <si>
    <t>Night/Image082.png</t>
  </si>
  <si>
    <t>Night/Image147.png</t>
  </si>
  <si>
    <t>Night/Image209.png</t>
  </si>
  <si>
    <t>Night/Image129.png</t>
  </si>
  <si>
    <t>Night/Image150.png</t>
  </si>
  <si>
    <t>Night/Image033.png</t>
  </si>
  <si>
    <t>Night/Image106.png</t>
  </si>
  <si>
    <t>Night/Image011.png</t>
  </si>
  <si>
    <t>Night/Image028.png</t>
  </si>
  <si>
    <t>Night/Image163.png</t>
  </si>
  <si>
    <t>Night/Image206.png</t>
  </si>
  <si>
    <t>Night/Image205.png</t>
  </si>
  <si>
    <t>Night/Image188.png</t>
  </si>
  <si>
    <t>Night/Image259.png</t>
  </si>
  <si>
    <t>Night/Image249.png</t>
  </si>
  <si>
    <t>Night/Image233.png</t>
  </si>
  <si>
    <t>Night/Image125.png</t>
  </si>
  <si>
    <t>Night/Image079.png</t>
  </si>
  <si>
    <t>Night/Image252.png</t>
  </si>
  <si>
    <t>Night</t>
  </si>
  <si>
    <t>data/raw/Night/Image003.png</t>
  </si>
  <si>
    <t>data/raw/Night/Image020.png</t>
  </si>
  <si>
    <t>data/raw/Night/Image091.png</t>
  </si>
  <si>
    <t>data/raw/Night/Image063.png</t>
  </si>
  <si>
    <t>data/raw/Night/Image231.png</t>
  </si>
  <si>
    <t>data/raw/Night/Image253.png</t>
  </si>
  <si>
    <t>data/raw/Night/Image056.png</t>
  </si>
  <si>
    <t>data/raw/Night/Image090.png</t>
  </si>
  <si>
    <t>data/raw/Night/Image053.png</t>
  </si>
  <si>
    <t>data/raw/Night/Image012.png</t>
  </si>
  <si>
    <t>data/raw/Night/Image140.png</t>
  </si>
  <si>
    <t>data/raw/Night/Image101.png</t>
  </si>
  <si>
    <t>data/raw/Night/Image055.png</t>
  </si>
  <si>
    <t>data/raw/Night/Image146.png</t>
  </si>
  <si>
    <t>data/raw/Night/Image240.png</t>
  </si>
  <si>
    <t>data/raw/Night/Image207.png</t>
  </si>
  <si>
    <t>data/raw/Night/Image160.png</t>
  </si>
  <si>
    <t>data/raw/Night/Image166.png</t>
  </si>
  <si>
    <t>data/raw/Night/Image245.png</t>
  </si>
  <si>
    <t>data/raw/Night/Image080.png</t>
  </si>
  <si>
    <t>data/raw/Night/Image169.png</t>
  </si>
  <si>
    <t>data/raw/Night/Image217.png</t>
  </si>
  <si>
    <t>data/raw/Night/Image191.png</t>
  </si>
  <si>
    <t>data/raw/Night/Image127.png</t>
  </si>
  <si>
    <t>data/raw/Night/Image264.png</t>
  </si>
  <si>
    <t>data/raw/Night/Image086.png</t>
  </si>
  <si>
    <t>data/raw/Night/Image130.png</t>
  </si>
  <si>
    <t>data/raw/Night/Image254.png</t>
  </si>
  <si>
    <t>data/raw/Night/Image126.png</t>
  </si>
  <si>
    <t>data/raw/Night/Image246.png</t>
  </si>
  <si>
    <t>data/raw/Night/Image161.png</t>
  </si>
  <si>
    <t>data/raw/Night/Image131.png</t>
  </si>
  <si>
    <t>data/raw/Night/Image218.png</t>
  </si>
  <si>
    <t>data/raw/Night/Image251.png</t>
  </si>
  <si>
    <t>data/raw/Night/Image195.png</t>
  </si>
  <si>
    <t>data/raw/Night/Image072.png</t>
  </si>
  <si>
    <t>data/raw/Night/Image030.png</t>
  </si>
  <si>
    <t>data/raw/Night/Image045.png</t>
  </si>
  <si>
    <t>data/raw/Night/Image092.png</t>
  </si>
  <si>
    <t>data/raw/Night/Image104.png</t>
  </si>
  <si>
    <t>data/raw/Night/Image059.png</t>
  </si>
  <si>
    <t>data/raw/Night/Image043.png</t>
  </si>
  <si>
    <t>data/raw/Night/Image004.png</t>
  </si>
  <si>
    <t>data/raw/Night/Image204.png</t>
  </si>
  <si>
    <t>data/raw/Night/Image143.png</t>
  </si>
  <si>
    <t>data/raw/Night/Image047.png</t>
  </si>
  <si>
    <t>data/raw/Night/Image031.png</t>
  </si>
  <si>
    <t>data/raw/Night/Image256.png</t>
  </si>
  <si>
    <t>data/raw/Night/Image184.png</t>
  </si>
  <si>
    <t>data/raw/Night/Image236.png</t>
  </si>
  <si>
    <t>data/raw/Night/Image006.png</t>
  </si>
  <si>
    <t>data/raw/Night/Image170.png</t>
  </si>
  <si>
    <t>data/raw/Night/Image113.png</t>
  </si>
  <si>
    <t>data/raw/Night/Image263.png</t>
  </si>
  <si>
    <t>data/raw/Night/Image016.png</t>
  </si>
  <si>
    <t>data/raw/Night/Image182.png</t>
  </si>
  <si>
    <t>data/raw/Night/Image219.png</t>
  </si>
  <si>
    <t>data/raw/Night/Image083.png</t>
  </si>
  <si>
    <t>data/raw/Night/Image027.png</t>
  </si>
  <si>
    <t>data/raw/Night/Image215.png</t>
  </si>
  <si>
    <t>data/raw/Night/Image138.png</t>
  </si>
  <si>
    <t>data/raw/Night/Image005.png</t>
  </si>
  <si>
    <t>data/raw/Night/Image134.png</t>
  </si>
  <si>
    <t>data/raw/Night/Image228.png</t>
  </si>
  <si>
    <t>data/raw/Night/Image232.png</t>
  </si>
  <si>
    <t>data/raw/Night/Image181.png</t>
  </si>
  <si>
    <t>data/raw/Night/Image087.png</t>
  </si>
  <si>
    <t>data/raw/Night/Image152.png</t>
  </si>
  <si>
    <t>data/raw/Night/Image061.png</t>
  </si>
  <si>
    <t>data/raw/Night/Image075.png</t>
  </si>
  <si>
    <t>data/raw/Night/Image210.png</t>
  </si>
  <si>
    <t>data/raw/Night/Image157.png</t>
  </si>
  <si>
    <t>data/raw/Night/Image221.png</t>
  </si>
  <si>
    <t>data/raw/Night/Image017.png</t>
  </si>
  <si>
    <t>data/raw/Night/Image226.png</t>
  </si>
  <si>
    <t>data/raw/Night/Image098.png</t>
  </si>
  <si>
    <t>data/raw/Night/Image121.png</t>
  </si>
  <si>
    <t>data/raw/Night/Image119.png</t>
  </si>
  <si>
    <t>data/raw/Night/Image230.png</t>
  </si>
  <si>
    <t>data/raw/Night/Image185.png</t>
  </si>
  <si>
    <t>data/raw/Night/Image238.png</t>
  </si>
  <si>
    <t>data/raw/Night/Image176.png</t>
  </si>
  <si>
    <t>data/raw/Night/Image118.png</t>
  </si>
  <si>
    <t>data/raw/Night/Image266.png</t>
  </si>
  <si>
    <t>data/raw/Night/Image035.png</t>
  </si>
  <si>
    <t>data/raw/Night/Image074.png</t>
  </si>
  <si>
    <t>data/raw/Night/Image154.png</t>
  </si>
  <si>
    <t>data/raw/Night/Image008.png</t>
  </si>
  <si>
    <t>data/raw/Night/Image060.png</t>
  </si>
  <si>
    <t>data/raw/Night/Image067.png</t>
  </si>
  <si>
    <t>data/raw/Night/Image156.png</t>
  </si>
  <si>
    <t>data/raw/Night/Image200.png</t>
  </si>
  <si>
    <t>data/raw/Night/Image192.png</t>
  </si>
  <si>
    <t>data/raw/Night/Image178.png</t>
  </si>
  <si>
    <t>data/raw/Night/Image220.png</t>
  </si>
  <si>
    <t>data/raw/Night/Image054.png</t>
  </si>
  <si>
    <t>data/raw/Night/Image149.png</t>
  </si>
  <si>
    <t>data/raw/Night/Image164.png</t>
  </si>
  <si>
    <t>data/raw/Night/Image036.png</t>
  </si>
  <si>
    <t>data/raw/Night/Image241.png</t>
  </si>
  <si>
    <t>data/raw/Night/Image213.png</t>
  </si>
  <si>
    <t>data/raw/Night/Image174.png</t>
  </si>
  <si>
    <t>data/raw/Night/Image122.png</t>
  </si>
  <si>
    <t>data/raw/Night/Image168.png</t>
  </si>
  <si>
    <t>data/raw/Night/Image108.png</t>
  </si>
  <si>
    <t>data/raw/Night/Image159.png</t>
  </si>
  <si>
    <t>data/raw/Night/Image057.png</t>
  </si>
  <si>
    <t>data/raw/Night/Image112.png</t>
  </si>
  <si>
    <t>data/raw/Night/Image167.png</t>
  </si>
  <si>
    <t>data/raw/Night/Image183.png</t>
  </si>
  <si>
    <t>data/raw/Night/Image133.png</t>
  </si>
  <si>
    <t>data/raw/Night/Image019.png</t>
  </si>
  <si>
    <t>data/raw/Night/Image247.png</t>
  </si>
  <si>
    <t>data/raw/Night/Image172.png</t>
  </si>
  <si>
    <t>data/raw/Night/Image145.png</t>
  </si>
  <si>
    <t>data/raw/Night/Image222.png</t>
  </si>
  <si>
    <t>data/raw/Night/Image194.png</t>
  </si>
  <si>
    <t>data/raw/Night/Image095.png</t>
  </si>
  <si>
    <t>data/raw/Night/Image076.png</t>
  </si>
  <si>
    <t>data/raw/Night/Image094.png</t>
  </si>
  <si>
    <t>data/raw/Night/Image107.png</t>
  </si>
  <si>
    <t>data/raw/Night/Image103.png</t>
  </si>
  <si>
    <t>data/raw/Night/Image115.png</t>
  </si>
  <si>
    <t>data/raw/Night/Image110.png</t>
  </si>
  <si>
    <t>data/raw/Night/Image201.png</t>
  </si>
  <si>
    <t>data/raw/Night/Image257.png</t>
  </si>
  <si>
    <t>data/raw/Night/Image040.png</t>
  </si>
  <si>
    <t>data/raw/Night/Image203.png</t>
  </si>
  <si>
    <t>data/raw/Night/Image007.png</t>
  </si>
  <si>
    <t>data/raw/Night/Image009.png</t>
  </si>
  <si>
    <t>data/raw/Night/Image258.png</t>
  </si>
  <si>
    <t>data/raw/Night/Image073.png</t>
  </si>
  <si>
    <t>data/raw/Night/Image137.png</t>
  </si>
  <si>
    <t>data/raw/Night/Image046.png</t>
  </si>
  <si>
    <t>data/raw/Night/Image039.png</t>
  </si>
  <si>
    <t>data/raw/Night/Image139.png</t>
  </si>
  <si>
    <t>data/raw/Night/Image142.png</t>
  </si>
  <si>
    <t>data/raw/Night/Image010.png</t>
  </si>
  <si>
    <t>data/raw/Night/Image190.png</t>
  </si>
  <si>
    <t>data/raw/Night/Image093.png</t>
  </si>
  <si>
    <t>data/raw/Night/Image018.png</t>
  </si>
  <si>
    <t>data/raw/Night/Image105.png</t>
  </si>
  <si>
    <t>data/raw/Night/Image171.png</t>
  </si>
  <si>
    <t>data/raw/Night/Image117.png</t>
  </si>
  <si>
    <t>data/raw/Night/Image155.png</t>
  </si>
  <si>
    <t>data/raw/Night/Image198.png</t>
  </si>
  <si>
    <t>data/raw/Night/Image260.png</t>
  </si>
  <si>
    <t>data/raw/Night/Image069.png</t>
  </si>
  <si>
    <t>data/raw/Night/Image062.png</t>
  </si>
  <si>
    <t>data/raw/Night/Image239.png</t>
  </si>
  <si>
    <t>data/raw/Night/Image097.png</t>
  </si>
  <si>
    <t>data/raw/Night/Image225.png</t>
  </si>
  <si>
    <t>data/raw/Night/Image024.png</t>
  </si>
  <si>
    <t>data/raw/Night/Image109.png</t>
  </si>
  <si>
    <t>data/raw/Night/Image085.png</t>
  </si>
  <si>
    <t>data/raw/Night/Image002.png</t>
  </si>
  <si>
    <t>data/raw/Night/Image158.png</t>
  </si>
  <si>
    <t>data/raw/Night/Image064.png</t>
  </si>
  <si>
    <t>data/raw/Night/Image262.png</t>
  </si>
  <si>
    <t>data/raw/Night/Image021.png</t>
  </si>
  <si>
    <t>data/raw/Night/Image202.png</t>
  </si>
  <si>
    <t>data/raw/Night/Image051.png</t>
  </si>
  <si>
    <t>data/raw/Night/Image102.png</t>
  </si>
  <si>
    <t>data/raw/Night/Image023.png</t>
  </si>
  <si>
    <t>data/raw/Night/Image100.png</t>
  </si>
  <si>
    <t>data/raw/Night/Image096.png</t>
  </si>
  <si>
    <t>data/raw/Night/Image066.png</t>
  </si>
  <si>
    <t>data/raw/Night/Image242.png</t>
  </si>
  <si>
    <t>data/raw/Night/Image120.png</t>
  </si>
  <si>
    <t>data/raw/Night/Image025.png</t>
  </si>
  <si>
    <t>data/raw/Night/Image136.png</t>
  </si>
  <si>
    <t>data/raw/Night/Image088.png</t>
  </si>
  <si>
    <t>data/raw/Night/Image029.png</t>
  </si>
  <si>
    <t>data/raw/Night/Image042.png</t>
  </si>
  <si>
    <t>data/raw/Night/Image255.png</t>
  </si>
  <si>
    <t>data/raw/Night/Image116.png</t>
  </si>
  <si>
    <t>data/raw/Night/Image187.png</t>
  </si>
  <si>
    <t>data/raw/Night/Image049.png</t>
  </si>
  <si>
    <t>data/raw/Night/Image234.png</t>
  </si>
  <si>
    <t>data/raw/Night/Image135.png</t>
  </si>
  <si>
    <t>data/raw/Night/Image081.png</t>
  </si>
  <si>
    <t>data/raw/Night/Image162.png</t>
  </si>
  <si>
    <t>data/raw/Night/Image208.png</t>
  </si>
  <si>
    <t>data/raw/Night/Image177.png</t>
  </si>
  <si>
    <t>data/raw/Night/Image037.png</t>
  </si>
  <si>
    <t>data/raw/Night/Image148.png</t>
  </si>
  <si>
    <t>data/raw/Night/Image041.png</t>
  </si>
  <si>
    <t>data/raw/Night/Image223.png</t>
  </si>
  <si>
    <t>data/raw/Night/Image212.png</t>
  </si>
  <si>
    <t>data/raw/Night/Image250.png</t>
  </si>
  <si>
    <t>data/raw/Night/Image153.png</t>
  </si>
  <si>
    <t>data/raw/Night/Image224.png</t>
  </si>
  <si>
    <t>data/raw/Night/Image175.png</t>
  </si>
  <si>
    <t>data/raw/Night/Image084.png</t>
  </si>
  <si>
    <t>data/raw/Night/Image186.png</t>
  </si>
  <si>
    <t>data/raw/Night/Image179.png</t>
  </si>
  <si>
    <t>data/raw/Night/Image128.png</t>
  </si>
  <si>
    <t>data/raw/Night/Image071.png</t>
  </si>
  <si>
    <t>data/raw/Night/Image014.png</t>
  </si>
  <si>
    <t>data/raw/Night/Image022.png</t>
  </si>
  <si>
    <t>data/raw/Night/Image189.png</t>
  </si>
  <si>
    <t>data/raw/Night/Image013.png</t>
  </si>
  <si>
    <t>data/raw/Night/Image229.png</t>
  </si>
  <si>
    <t>data/raw/Night/Image068.png</t>
  </si>
  <si>
    <t>data/raw/Night/Image052.png</t>
  </si>
  <si>
    <t>data/raw/Night/Image034.png</t>
  </si>
  <si>
    <t>data/raw/Night/Image077.png</t>
  </si>
  <si>
    <t>data/raw/Night/Image032.png</t>
  </si>
  <si>
    <t>data/raw/Night/Image243.png</t>
  </si>
  <si>
    <t>data/raw/Night/Image058.png</t>
  </si>
  <si>
    <t>data/raw/Night/Image111.png</t>
  </si>
  <si>
    <t>data/raw/Night/Image244.png</t>
  </si>
  <si>
    <t>data/raw/Night/Image141.png</t>
  </si>
  <si>
    <t>data/raw/Night/Image050.png</t>
  </si>
  <si>
    <t>data/raw/Night/Image265.png</t>
  </si>
  <si>
    <t>data/raw/Night/Image001.png</t>
  </si>
  <si>
    <t>data/raw/Night/Image065.png</t>
  </si>
  <si>
    <t>data/raw/Night/Image248.png</t>
  </si>
  <si>
    <t>data/raw/Night/Image199.png</t>
  </si>
  <si>
    <t>data/raw/Night/Image261.png</t>
  </si>
  <si>
    <t>data/raw/Night/Image180.png</t>
  </si>
  <si>
    <t>data/raw/Night/Image114.png</t>
  </si>
  <si>
    <t>data/raw/Night/Image132.png</t>
  </si>
  <si>
    <t>data/raw/Night/Image089.png</t>
  </si>
  <si>
    <t>data/raw/Night/Image173.png</t>
  </si>
  <si>
    <t>data/raw/Night/Image144.png</t>
  </si>
  <si>
    <t>data/raw/Night/Image048.png</t>
  </si>
  <si>
    <t>data/raw/Night/Image197.png</t>
  </si>
  <si>
    <t>data/raw/Night/Image235.png</t>
  </si>
  <si>
    <t>data/raw/Night/Image044.png</t>
  </si>
  <si>
    <t>data/raw/Night/Image165.png</t>
  </si>
  <si>
    <t>data/raw/Night/Image196.png</t>
  </si>
  <si>
    <t>data/raw/Night/Image193.png</t>
  </si>
  <si>
    <t>data/raw/Night/Image078.png</t>
  </si>
  <si>
    <t>data/raw/Night/Image216.png</t>
  </si>
  <si>
    <t>data/raw/Night/Image214.png</t>
  </si>
  <si>
    <t>data/raw/Night/Image038.png</t>
  </si>
  <si>
    <t>data/raw/Night/Image015.png</t>
  </si>
  <si>
    <t>data/raw/Night/Image070.png</t>
  </si>
  <si>
    <t>data/raw/Night/Image099.png</t>
  </si>
  <si>
    <t>data/raw/Night/Image151.png</t>
  </si>
  <si>
    <t>data/raw/Night/Image124.png</t>
  </si>
  <si>
    <t>data/raw/Night/Image026.png</t>
  </si>
  <si>
    <t>data/raw/Night/Image237.png</t>
  </si>
  <si>
    <t>data/raw/Night/Image227.png</t>
  </si>
  <si>
    <t>data/raw/Night/Image211.png</t>
  </si>
  <si>
    <t>data/raw/Night/Image123.png</t>
  </si>
  <si>
    <t>data/raw/Night/Image082.png</t>
  </si>
  <si>
    <t>data/raw/Night/Image147.png</t>
  </si>
  <si>
    <t>data/raw/Night/Image209.png</t>
  </si>
  <si>
    <t>data/raw/Night/Image129.png</t>
  </si>
  <si>
    <t>data/raw/Night/Image150.png</t>
  </si>
  <si>
    <t>data/raw/Night/Image033.png</t>
  </si>
  <si>
    <t>data/raw/Night/Image106.png</t>
  </si>
  <si>
    <t>data/raw/Night/Image011.png</t>
  </si>
  <si>
    <t>data/raw/Night/Image028.png</t>
  </si>
  <si>
    <t>data/raw/Night/Image163.png</t>
  </si>
  <si>
    <t>data/raw/Night/Image206.png</t>
  </si>
  <si>
    <t>data/raw/Night/Image205.png</t>
  </si>
  <si>
    <t>data/raw/Night/Image188.png</t>
  </si>
  <si>
    <t>data/raw/Night/Image259.png</t>
  </si>
  <si>
    <t>data/raw/Night/Image249.png</t>
  </si>
  <si>
    <t>data/raw/Night/Image233.png</t>
  </si>
  <si>
    <t>data/raw/Night/Image125.png</t>
  </si>
  <si>
    <t>data/raw/Night/Image079.png</t>
  </si>
  <si>
    <t>data/raw/Night/Image252.png</t>
  </si>
  <si>
    <t>gpt-5.1</t>
  </si>
  <si>
    <t>Nighttime urban street with cars on the road and piles of cut vegetation and debris obstructing the sidewalk near a crosswalk.</t>
  </si>
  <si>
    <t>Night-time urban street with cars near a crosswalk and a sidewalk partially blocked by uprooted plants and debris.</t>
  </si>
  <si>
    <t>Nighttime urban sidewalk beside an apartment building, with a large open cardboard box and packaging materials protruding into the pedestrian path near a low wall.</t>
  </si>
  <si>
    <t>Nighttime urban sidewalk next to a street, with large cardboard boxes placed on the walking path beside a hedge and parked/moving cars.</t>
  </si>
  <si>
    <t>Nighttime urban sidewalk and path alongside a parked-car street with trees and bushes, well lit and empty of people.</t>
  </si>
  <si>
    <t>Nighttime urban sidewalk alongside a street with parked cars, a wall with vegetation, and a pedestrian walking in the distance.</t>
  </si>
  <si>
    <t>Nighttime urban sidewalk with large cardboard boxes placed on the walking path beside a hedge near parked cars and a roadway.</t>
  </si>
  <si>
    <t>Night-time urban sidewalk with cardboard boxes and packaging waste partially obstructing the pedestrian path beside a residential street with parked cars.</t>
  </si>
  <si>
    <t>Nighttime urban sidewalk beside a street with cars, where large cardboard items are left leaning against a wall and extending into the walking path.</t>
  </si>
  <si>
    <t>Nighttime urban street with parked and moving cars; a large pile of cut vegetation and debris obstructs most of the sidewalk near the curb.</t>
  </si>
  <si>
    <t>Urban street at night with a white car stopped or reversing near a junction beside a sidewalk; no pedestrians are present.</t>
  </si>
  <si>
    <t>Nighttime urban intersection with a pedestrian crosswalk and loose objects lying in the roadway.</t>
  </si>
  <si>
    <t>Nighttime urban sidewalk with large cardboard boxes blocking part of the pedestrian path adjacent to parked vehicles and vegetation.</t>
  </si>
  <si>
    <t>Nighttime urban street corner with a brick sidewalk and several vehicles near an intersection.</t>
  </si>
  <si>
    <t>Well-lit urban sidewalk with trees and adjacent roadway at night; no visible pedestrians or vehicles nearby.</t>
  </si>
  <si>
    <t>Nighttime pedestrian walkway with trees and landscaping alongside a road, no people or vehicles on the path.</t>
  </si>
  <si>
    <t>Nighttime urban sidewalk with parked car at curb and low bollards along the right edge.</t>
  </si>
  <si>
    <t>Nighttime urban sidewalk next to a street with parked vehicles; brick paving appears mostly intact with some discolorations.</t>
  </si>
  <si>
    <t>Nighttime urban sidewalk next to a row of parked cars and trees, with wet pavement and streetlights in the distance.</t>
  </si>
  <si>
    <t>Nighttime urban sidewalk where a car is partially parked on the pedestrian path next to a roadway and vegetation.</t>
  </si>
  <si>
    <t>Evening urban sidewalk with a single pedestrian walking away from the camera beside a low stone wall and parked cars.</t>
  </si>
  <si>
    <t>Nighttime urban pedestrian pathway with adjacent street traffic and a bus in the background, lit by streetlights and lined with trees and shrubs.</t>
  </si>
  <si>
    <t>Well-lit tree-lined sidewalk at night adjacent to a roadway, with no visible pedestrians or vehicles on the walkway.</t>
  </si>
  <si>
    <t>Nighttime view of a cracked asphalt pedestrian or low-traffic lane bordered by paving stones, with visible surface cracks and a damp or stained patch.</t>
  </si>
  <si>
    <t>Nighttime urban sidewalk alongside a busy road with parked and moving cars, streetlights, vegetation, and no visible pedestrians.</t>
  </si>
  <si>
    <t>Nighttime urban sidewalk beside parked cars, with a large bush narrowing the pedestrian path near a low wall.</t>
  </si>
  <si>
    <t>Nighttime urban sidewalk/bikeway alongside a road, with a raised transverse asphalt ridge and surface cracks in the path.</t>
  </si>
  <si>
    <t>Nighttime urban sidewalk alongside a street with parked cars, trees, and a wall; a few distant pedestrians visible and no obvious hazards.</t>
  </si>
  <si>
    <t>Nighttime view of a cracked asphalt pavement adjacent to a brick-edged walkway.</t>
  </si>
  <si>
    <t>Nighttime urban sidewalk beside a lit roadway intersection with vehicles, vegetation, and no visible pedestrians.</t>
  </si>
  <si>
    <t>Nighttime urban sidewalk beside a roadway with parked vehicles and some uneven paving near the curb.</t>
  </si>
  <si>
    <t>Nighttime urban sidewalk alongside a roadway, with a raised transverse asphalt edge and longitudinal cracks on the walking surface.</t>
  </si>
  <si>
    <t>Nighttime pedestrian pathway or mixed-use path in an urban area with trees, lighting, and a bus visible in the distance.</t>
  </si>
  <si>
    <t>Nighttime urban sidewalk beside a busy street with parked cars and a few pedestrians walking away from the camera.</t>
  </si>
  <si>
    <t>Nighttime urban sidewalk alongside a road with trees, a bus stop shelter, street lighting, and landscaped vegetation; no people or vehicles close to the camera.</t>
  </si>
  <si>
    <t>Residential street at dusk with parked cars and a large pile of trimmed branches occupying part of the roadway near the curb.</t>
  </si>
  <si>
    <t>Night-time view of a paved sidewalk with a large water puddle, adjacent to parked vehicles and a pole.</t>
  </si>
  <si>
    <t>Nighttime urban sidewalk with parked cars and large debris obstructing the pedestrian path.</t>
  </si>
  <si>
    <t>Night-time urban sidewalk next to a residential building, with a large cardboard box and long cardboard pieces blocking part of the pedestrian path.</t>
  </si>
  <si>
    <t>Nighttime urban intersection with a pedestrian crosswalk; a loose cloth object lies in the middle of the road.</t>
  </si>
  <si>
    <t>Nighttime urban sidewalk beside a street, with large cardboard boxes obstructing part of the pedestrian path near parked cars and vegetation.</t>
  </si>
  <si>
    <t>Night-time urban sidewalk with a car encroaching on the walkway and bulky debris blocking most of the pedestrian path alongside parked cars.</t>
  </si>
  <si>
    <t>Nighttime urban street with parked cars and a sidewalk partially blocked by vegetation debris and an overturned trash container.</t>
  </si>
  <si>
    <t>Nighttime pedestrian pathway or sidewalk in an urban park-like area, with trees, landscaped edges, and a barricaded area with signs and lights in the background.</t>
  </si>
  <si>
    <t>Nighttime urban street with cars near an intersection and a brick sidewalk alongside a low retaining wall.</t>
  </si>
  <si>
    <t>Narrow urban sidewalk at night with a car parked on the walkway and large household debris blocking pedestrian passage.</t>
  </si>
  <si>
    <t>Nighttime sidewalk with brick paving and a sizable water puddle near the center; parked vehicle and post visible at the top edge.</t>
  </si>
  <si>
    <t>Nighttime urban sidewalk alongside a roadway with parked and moving cars, trees, a wall, and a circular manhole cover in the walking path.</t>
  </si>
  <si>
    <t>Nighttime urban crosswalk at an intersection with one pedestrian crossing and light vehicle traffic in the background.</t>
  </si>
  <si>
    <t>Nighttime urban pedestrian walkway with adjacent planted areas and parked vehicles along the side.</t>
  </si>
  <si>
    <t>Nighttime urban street with cars parked/Driving nearby and a sidewalk partially blocked by uprooted vegetation and debris.</t>
  </si>
  <si>
    <t>Nighttime urban street with several cars parked along a curbside lane adjacent to a sidewalk in a dense city environment.</t>
  </si>
  <si>
    <t>Nighttime urban sidewalk alongside a roadway with light traffic and street lighting, no people present.</t>
  </si>
  <si>
    <t>Nighttime urban street with a sidewalk partially blocked by fallen vegetation and a toppled plastic container near a crosswalk.</t>
  </si>
  <si>
    <t>Nighttime urban intersection with a pedestrian using a marked crosswalk while vehicles approach on a multi-lane road.</t>
  </si>
  <si>
    <t>Nighttime urban pedestrian path with adjacent landscaped area and distant roadway traffic.</t>
  </si>
  <si>
    <t>Urban residential street at dusk with a sidewalk nearly blocked by bulky trash and cardboard placed behind a parked car next to the curb.</t>
  </si>
  <si>
    <t>Nighttime paved sidewalk with a sizable water puddle and parked vehicle partially visible at the edge.</t>
  </si>
  <si>
    <t>Nighttime urban residential street with a wide brick sidewalk and parallel-parked cars along the curb.</t>
  </si>
  <si>
    <t>Evening urban street corner where a white car appears to be driving or turning over the pedestrian sidewalk near a curb.</t>
  </si>
  <si>
    <t>Nighttime urban street with parked and moving cars; a pile of cut vegetation and debris obstructs part of the sidewalk near a crosswalk.</t>
  </si>
  <si>
    <t>Nighttime urban street corner with several cars at an intersection adjacent to a brick-paved sidewalk.</t>
  </si>
  <si>
    <t>Nighttime urban street with a separated sidewalk and planted median, a few parked and moving cars, and no visible pedestrians.</t>
  </si>
  <si>
    <t>Nighttime urban sidewalk and parallel path beside a street with parked vehicles and trees, no visible pedestrians.</t>
  </si>
  <si>
    <t>Well-lit urban sidewalk at night running alongside a roadway with light traffic, trees, and a fenced wall with bushes.</t>
  </si>
  <si>
    <t>Nighttime urban sidewalk beside a street with parked cars; a large bush protrudes into and obstructs the pedestrian path.</t>
  </si>
  <si>
    <t>Nighttime urban sidewalk alongside parked cars with no visible pedestrians or moving vehicles.</t>
  </si>
  <si>
    <t>Nighttime urban sidewalk with large cardboard boxes obstructing part of the pedestrian path beside a street with moving cars.</t>
  </si>
  <si>
    <t>Nighttime urban sidewalk with a car parked partly on the sidewalk and another vehicle on the adjacent street.</t>
  </si>
  <si>
    <t>Nighttime urban sidewalk and landscaped roadside with streetlights and distant vehicles, no pedestrians present.</t>
  </si>
  <si>
    <t>Nighttime urban sidewalk beside a parked car and street, with bollards and a tree ahead.</t>
  </si>
  <si>
    <t>Night-time urban sidewalk and adjacent roadway with parked and moving vehicles, street trees, and pedestrian lighting.</t>
  </si>
  <si>
    <t>Nighttime urban street with cars near a crosswalk and a sidewalk partially blocked by uprooted plants and scattered debris.</t>
  </si>
  <si>
    <t>Nighttime urban sidewalk and adjacent roadway with light traffic, landscaped vegetation, and no visible pedestrians in the immediate foreground.</t>
  </si>
  <si>
    <t>Nighttime urban sidewalk adjacent to parked cars, with a large cardboard box and debris partially obstructing the pedestrian path.</t>
  </si>
  <si>
    <t>Nighttime view of an urban sidewalk with interlocking pavers, adjacent planting bed, and a cracked, vertically displaced paving tile creating a tripping hazard.</t>
  </si>
  <si>
    <t>Nighttime urban pedestrian crossing with a person walking on a crosswalk toward a red pedestrian signal in front of residential buildings and a parked car.</t>
  </si>
  <si>
    <t>Nighttime urban sidewalk alongside a multi-lane road with parked cars and street trees, well lit with no pedestrians visible.</t>
  </si>
  <si>
    <t>Nighttime urban sidewalk along a roadway with a leaning tree over the pedestrian path, cars waiting at a red light, and a fenced area on the right.</t>
  </si>
  <si>
    <t>Nighttime urban sidewalk alongside a roadway with a passing car, trees, metal railings, and a fire hydrant; pavement appears damp but orderly.</t>
  </si>
  <si>
    <t>Nighttime urban sidewalk beside a road with moving vehicles, a pedestrian walking a dog, and a leaning tree partially obstructing the pedestrian path.</t>
  </si>
  <si>
    <t>Nighttime urban crosswalk with a pedestrian walking while the pedestrian signal appears red.</t>
  </si>
  <si>
    <t>Night-time urban sidewalk beside a busy street with a pedestrian walking while looking at a phone and several cars queued in traffic.</t>
  </si>
  <si>
    <t>Nighttime view of a brick-paved sidewalk with a standing water puddle, adjacent to a parked vehicle and pole.</t>
  </si>
  <si>
    <t>Urban residential street at dusk with large pile of cut tree branches placed along the curb encroaching into the roadway.</t>
  </si>
  <si>
    <t>Nighttime urban sidewalk with brick paving beside a street with parked vehicles; no people visible.</t>
  </si>
  <si>
    <t>Nighttime urban street with cars on the road and a sidewalk partially blocked by cut vegetation and debris near a pedestrian crossing.</t>
  </si>
  <si>
    <t>Nighttime urban sidewalk beside a street with parked cars and large cardboard boxes placed on the walking path next to a hedge.</t>
  </si>
  <si>
    <t>Nighttime urban sidewalk beside a road, with large cardboard boxes placed on the pedestrian path near a hedge and curb where cars are passing.</t>
  </si>
  <si>
    <t>Nighttime urban sidewalk beside a road with parked vehicles and no visible pedestrians in the immediate area.</t>
  </si>
  <si>
    <t>Nighttime urban street with a wide, empty sidewalk beside a multi-lane road, streetlights, vegetation, and a red fire hydrant.</t>
  </si>
  <si>
    <t>Nighttime tree-lined urban sidewalk with adjacent roadway and traffic lights in the distance.</t>
  </si>
  <si>
    <t>Well-lit urban sidewalk and adjacent roadway at night with streetlights, fence, and vegetation; no people or vehicles nearby.</t>
  </si>
  <si>
    <t>Nighttime urban sidewalk and adjacent roadway with parked and moving vehicles, street trees, and lighting; no pedestrians present.</t>
  </si>
  <si>
    <t>Nighttime urban sidewalk with large cardboard boxes and debris obstructing the pedestrian path near parked cars at a street corner.</t>
  </si>
  <si>
    <t>Nighttime urban sidewalk alongside a road with parked cars and curb markings, no pedestrians visible.</t>
  </si>
  <si>
    <t>Nighttime urban sidewalk alongside a street with parked cars and some surface irregularities on the pavement.</t>
  </si>
  <si>
    <t>Nighttime urban sidewalk with a car partially blocking the path and large discarded furniture/debris fully obstructing pedestrian passage.</t>
  </si>
  <si>
    <t>Nighttime urban sidewalk alongside a street with trees, railings, and light traffic; no people visible nearby.</t>
  </si>
  <si>
    <t>Nighttime urban residential street with a wide brick sidewalk, parallel-parked cars, trees, and street lighting; no visible pedestrians.</t>
  </si>
  <si>
    <t>Evening urban sidewalk with a single pedestrian walking away from the camera beside a low wall and parked cars.</t>
  </si>
  <si>
    <t>Nighttime view of an urban sidewalk with concrete pavers, a tree pit on the left, and several broken/misaligned tiles creating an uneven walking surface.</t>
  </si>
  <si>
    <t>Nighttime urban sidewalk with a single pedestrian walking away from the camera beside a low stone wall and parked cars.</t>
  </si>
  <si>
    <t>Nighttime urban sidewalk with large discarded boards and debris piled beside an electrical pole near a crosswalk.</t>
  </si>
  <si>
    <t>Nighttime urban sidewalk beside a street with parked cars and bollards; no immediate hazards visible.</t>
  </si>
  <si>
    <t>Nighttime urban sidewalk with large cardboard boxes placed against a hedge near parked cars and a street corner.</t>
  </si>
  <si>
    <t>Nighttime urban street with a white SUV parked on a sidewalk adjacent to a roadway and residential buildings.</t>
  </si>
  <si>
    <t>Nighttime urban sidewalk with brick paving beside a street with parked cars and curb markings.</t>
  </si>
  <si>
    <t>Nighttime urban crosswalk with two pedestrians crossing while traffic signals show green for vehicles and a white van is stopped at the intersection.</t>
  </si>
  <si>
    <t>Nighttime urban street with brick sidewalk and several cars near an intersection; no pedestrians visible.</t>
  </si>
  <si>
    <t>Nighttime urban street with cars on the road and a sidewalk cluttered by fallen plants, soil, and a tipped-over planter obstructing the pedestrian path.</t>
  </si>
  <si>
    <t>Nighttime urban sidewalk alongside a road with traffic, landscaping, and street lighting; no people visible.</t>
  </si>
  <si>
    <t>Nighttime urban street corner with a white car driving on or over the sidewalk area near an intersection.</t>
  </si>
  <si>
    <t>Nighttime urban sidewalk and adjacent roadway with trees, parked cars, and streetlights; no visible pedestrians or immediate hazards.</t>
  </si>
  <si>
    <t>Nighttime urban sidewalk alongside a road with trees, a bus stop shelter, street lighting, and landscaped vegetation; no people or vehicles on the sidewalk.</t>
  </si>
  <si>
    <t>Night-time urban street with parked cars and a large wooden door panel obstructing the sidewalk and partially overhanging the curb.</t>
  </si>
  <si>
    <t>Evening urban sidewalk with a silver car parked partly on the curb and roadway traffic in the background.</t>
  </si>
  <si>
    <t>Nighttime urban sidewalk with parked cars; large discarded wooden panel and boxes obstructing pedestrian path and partially extending into street.</t>
  </si>
  <si>
    <t>Nighttime urban street corner with pedestrians near a crosswalk and large construction debris obstructing the sidewalk beside electrical infrastructure.</t>
  </si>
  <si>
    <t>Nighttime residential street with crosswalk; a piece of clothing lies in the middle of the roadway near parked cars.</t>
  </si>
  <si>
    <t>Nighttime urban street with several cars parked along and partly on a wide sidewalk next to a roadway with light traffic.</t>
  </si>
  <si>
    <t>Nighttime urban sidewalk with a white Mazda CX-5 parked fully on the pedestrian path adjacent to a roadway and pedestrian crossing area.</t>
  </si>
  <si>
    <t>Nighttime urban park-side scooter parking area with a single shared e-scooter standing within a marked scooter bay next to grass and hedges.</t>
  </si>
  <si>
    <t>Night-time urban sidewalk beside a busy street with parked and moving cars, street trees, and a long wall; one distant pedestrian visible.</t>
  </si>
  <si>
    <t>Night-time urban sidewalk beside parked cars with significant debris and a broken structure blocking the pedestrian path.</t>
  </si>
  <si>
    <t>Nighttime urban park or sidewalk area with a parked rental e-scooter standing in a designated scooter parking space near grass and hedges.</t>
  </si>
  <si>
    <t>Night-time urban street with a sidewalk partially blocked by fallen vegetation and debris near a crosswalk and curb.</t>
  </si>
  <si>
    <t>Nighttime urban street with cars on the road and a sidewalk partially blocked by cut vegetation and debris.</t>
  </si>
  <si>
    <t>Nighttime urban sidewalk alongside a busy street with parked cars, one pedestrian, street trees, and vegetation; environment appears orderly and well-lit.</t>
  </si>
  <si>
    <t>Residential urban street at dusk with several parked cars and a large pile of cut tree branches occupying the curbside/parking lane next to the sidewalk.</t>
  </si>
  <si>
    <t>Nighttime urban sidewalk adjacent to a street corner with a white car turning and a white van parked ahead.</t>
  </si>
  <si>
    <t>Narrow urban sidewalk at night with a parked car and bulky debris/garbage obstructing the pedestrian path.</t>
  </si>
  <si>
    <t>Nighttime urban sidewalk beside parked cars with significant debris and a possible collapsed structure blocking the pedestrian path.</t>
  </si>
  <si>
    <t>Nighttime urban street corner with several cars near an intersection and a brick-paved sidewalk.</t>
  </si>
  <si>
    <t>Evening urban street corner with cars at an intersection next to a raised brick sidewalk and stone wall with vegetation.</t>
  </si>
  <si>
    <t>Night-time urban street with cars on the road and large yard-waste/branches and a knocked-over trash bin obstructing the sidewalk near a crosswalk.</t>
  </si>
  <si>
    <t>Nighttime tree-lined urban sidewalk with adjacent roadway traffic and no visible pedestrians or vehicles on the walkway.</t>
  </si>
  <si>
    <t>Nighttime residential street with cars parked along the road and a large cardboard box with packaging waste obstructing part of the sidewalk next to a low wall.</t>
  </si>
  <si>
    <t>Nighttime urban street with sidewalk partially blocked by uprooted plants and soil near a crosswalk; several cars on the road.</t>
  </si>
  <si>
    <t>Nighttime urban street corner in what appears to be Israel, with an electrical pole and a pile of bulky waste and construction debris obstructing the sidewalk near a crosswalk.</t>
  </si>
  <si>
    <t>Nighttime urban sidewalk with a single pedestrian walking away from the camera alongside parked cars and a low stone wall.</t>
  </si>
  <si>
    <t>Nighttime urban street near a residential/commercial building with cars and a pedestrian walking across a crosswalk between vehicles.</t>
  </si>
  <si>
    <t>Nighttime urban sidewalk with adjacent parked vehicle and curb markings.</t>
  </si>
  <si>
    <t>Nighttime urban street with a wide, empty sidewalk beside a lightly trafficked roadway, lined with trees and street lighting.</t>
  </si>
  <si>
    <t>Nighttime urban sidewalk beside a lit roadway with traffic, a pedestrian walking on the sidewalk, and a marked crosswalk ahead.</t>
  </si>
  <si>
    <t>Nighttime urban sidewalk beside a street with several large cardboard boxes partially blocking the pedestrian path near a hedge.</t>
  </si>
  <si>
    <t>Nighttime urban sidewalk beside a road with parked/slow-moving cars and large cardboard boxes obstructing part of the pedestrian path next to a hedge.</t>
  </si>
  <si>
    <t>Nighttime urban sidewalk adjacent to a lit roadway with passing cars, trees, railing, and a fire hydrant; no people visible.</t>
  </si>
  <si>
    <t>Nighttime urban sidewalk with parked cars and large wooden panels obstructing the pedestrian path near the curb.</t>
  </si>
  <si>
    <t>Nighttime urban sidewalk and path with adjacent traffic and vegetation; no pedestrians visible.</t>
  </si>
  <si>
    <t>Nighttime paved sidewalk with a water puddle and nearby pole; no visible vehicles or pedestrians close by.</t>
  </si>
  <si>
    <t>Nighttime urban street with a white SUV parked partially on a sidewalk next to a curb.</t>
  </si>
  <si>
    <t>Nighttime urban sidewalk next to a low stone wall with parked cars and street signs; a dense bush protrudes into the pedestrian path.</t>
  </si>
  <si>
    <t>Night-time urban street with cars near a crosswalk and a sidewalk obstructed by cut vegetation and a toppled trash bin.</t>
  </si>
  <si>
    <t>Nighttime urban sidewalk next to a roadway with a parked vehicle near the curb and some surface irregularities on the pavement.</t>
  </si>
  <si>
    <t>Nighttime urban sidewalk adjacent to a roadway, with large cardboard boxes obstructing the pedestrian path beside a hedge and low wall while cars pass nearby.</t>
  </si>
  <si>
    <t>Nighttime urban sidewalk alongside a road with traffic, greenery, and street lighting; no pedestrians visible.</t>
  </si>
  <si>
    <t>Nighttime urban street with sidewalk vegetation and a toppled planter or bin creating obstruction on the pedestrian path near a crosswalk.</t>
  </si>
  <si>
    <t>Nighttime urban sidewalk/park area with a parked shared e-scooter in a designated scooter parking zone beside a grassy verge and hedges.</t>
  </si>
  <si>
    <t>Night-time urban sidewalk beside a road with cars; large discarded cardboard boxes and possibly a mattress obstruct the pedestrian path near a hedge and wall.</t>
  </si>
  <si>
    <t>Nighttime urban intersection with a pedestrian crosswalk and a bundle of cloth or clothing lying in the roadway near the crosswalk.</t>
  </si>
  <si>
    <t>Paved pedestrian sidewalk at night with a standing water puddle in the walking path.</t>
  </si>
  <si>
    <t>Nighttime urban sidewalk with parked cars; a large detached door and other debris obstruct the pedestrian path.</t>
  </si>
  <si>
    <t>Nighttime urban street with parked cars and a large wooden panel obstructing the sidewalk near the curb.</t>
  </si>
  <si>
    <t>Nighttime urban sidewalk beside a roadway, with large discarded cardboard boxes obstructing part of the pedestrian path near a hedge.</t>
  </si>
  <si>
    <t>Nighttime urban sidewalk beside a row of parked cars and trees, with wet paving stones and street lighting.</t>
  </si>
  <si>
    <t>Nighttime view of an urban sidewalk with displaced and broken paving tiles creating an uneven walking surface.</t>
  </si>
  <si>
    <t>Nighttime paved pedestrian walkway with a large water puddle in the middle of the path.</t>
  </si>
  <si>
    <t>Nighttime urban sidewalk next to a street intersection with a white car turning and a white van parked across the road.</t>
  </si>
  <si>
    <t>Nighttime urban sidewalk beside parked cars, with a dense shrub planted in the middle of the pedestrian path partially blocking passage.</t>
  </si>
  <si>
    <t>Nighttime urban sidewalk with a large water puddle on the paving stones near parked vehicles.</t>
  </si>
  <si>
    <t>Narrow urban sidewalk at dusk mostly blocked by an improperly parked car and discarded furniture/debris, adjacent to a residential street with parked vehicles.</t>
  </si>
  <si>
    <t>Nighttime urban sidewalk alongside a parked-car-lined street with pedestrians in the distance and overhanging vegetation along a wall.</t>
  </si>
  <si>
    <t>Nighttime urban street with a car parked fully on the sidewalk next to a multi-lane roadway with moving traffic.</t>
  </si>
  <si>
    <t>Well-lit tree-lined sidewalk at night next to a roadway with vehicle traffic, no visible pedestrians.</t>
  </si>
  <si>
    <t>Evening street-side sidewalk with a car parked on the walkway and large debris/household items obstructing pedestrian passage.</t>
  </si>
  <si>
    <t>Nighttime view of a wide, empty pedestrian or cycle path between rows of trees and parked vehicles in an urban area.</t>
  </si>
  <si>
    <t>Urban street at dusk/night with cars near an intersection and a brick-paved sidewalk; no pedestrians visible.</t>
  </si>
  <si>
    <t>Urban residential street at dusk with a sidewalk partially blocked by large discarded cardboard boxes placed behind a parked car.</t>
  </si>
  <si>
    <t>Nighttime urban sidewalk next to a street with parked vehicles and roadside bollards, with pedestrians visible ahead.</t>
  </si>
  <si>
    <t>Nighttime view of a well-lit urban pedestrian path with adjacent landscaped area and distant roadway in a city park or boulevard.</t>
  </si>
  <si>
    <t>Nighttime urban sidewalk beside a parked car lane, with pedestrians walking and cars nearby under street lighting.</t>
  </si>
  <si>
    <t>Nighttime urban sidewalk with cars parked alongside and large debris obstructing the pedestrian path.</t>
  </si>
  <si>
    <t>Nighttime urban sidewalk beside a roadway with parked car and curb markings.</t>
  </si>
  <si>
    <t>Nighttime urban sidewalk where a white car is parked and large debris, possibly from a broken cabinet or structure, is blocking most of the pedestrian path.</t>
  </si>
  <si>
    <t>Nighttime urban sidewalk and adjacent road with parked cars, street trees, and lighting; no pedestrians visible.</t>
  </si>
  <si>
    <t>Nighttime urban sidewalk with parked cars along a residential street, illuminated by streetlights.</t>
  </si>
  <si>
    <t>Nighttime urban sidewalk along a busy street with parked and moving cars; a person is standing next to an open car door beside the curb.</t>
  </si>
  <si>
    <t>Nighttime urban sidewalk alongside a roadway with parked cars and no visible pedestrians.</t>
  </si>
  <si>
    <t>Night-time urban sidewalk and path alongside a busy street with cars stopped at a traffic light, landscaped vegetation, and no visible pedestrians.</t>
  </si>
  <si>
    <t>Nighttime urban sidewalk next to parked cars, with a man walking a small dog along a well-lit residential street.</t>
  </si>
  <si>
    <t>Nighttime urban sidewalk with a large shrub protruding into the pedestrian path beside a low stone wall and parked cars.</t>
  </si>
  <si>
    <t>Nighttime urban street with a brick sidewalk beside a roadway, fencing on one side, cars at a red traffic light and a few pedestrians in the distance.</t>
  </si>
  <si>
    <t>Well-lit urban sidewalk at night beside a road, with trees, streetlights, and a high fence; no people or vehicles immediately present.</t>
  </si>
  <si>
    <t>Nighttime view of a cracked asphalt pedestrian/low-traffic path bordered by paved tiles and bricks, with a stained or worn patch on the surface.</t>
  </si>
  <si>
    <t>Residential urban street at dusk with parked cars and a large pile of cut branches and vegetation blocking part of the sidewalk and curbside area.</t>
  </si>
  <si>
    <t>Nighttime urban street with parked cars; a large pile of cut branches, foliage, and a plastic container obstructs part of the sidewalk near the curb.</t>
  </si>
  <si>
    <t>Paved pedestrian walkway at dusk or night with a water puddle on the path and nearby pole/railing infrastructure.</t>
  </si>
  <si>
    <t>Well-lit tree-lined pedestrian sidewalk at night beside a roadway with no visible people nearby.</t>
  </si>
  <si>
    <t>Night-time urban street with a sidewalk cluttered by cut branches and debris near a crosswalk; light traffic on adjacent road.</t>
  </si>
  <si>
    <t>Nighttime urban street with a wide sidewalk next to a multi-lane roadway with parked and moving cars, trees, and hedges; no people visible.</t>
  </si>
  <si>
    <t>Nighttime urban sidewalk next to a street with parked or moving cars, where large cardboard boxes are obstructing part of the pedestrian path adjacent to a hedge.</t>
  </si>
  <si>
    <t>Nighttime urban sidewalk next to a street with parked or slow-moving cars; large cardboard items and debris placed on the pedestrian path beside a hedge and low wall.</t>
  </si>
  <si>
    <t>Nighttime view of a paved pedestrian sidewalk with a sizable water puddle near a pole and parked vehicle.</t>
  </si>
  <si>
    <t>Evening urban sidewalk where a silver car is parked partially over the pedestrian path beside a low wall and vegetation near a street junction.</t>
  </si>
  <si>
    <t>Nighttime paved sidewalk with a large water puddle near parked vehicles and a post.</t>
  </si>
  <si>
    <t>Nighttime urban sidewalk lined with trees and parked cars along a street, with slightly wet paving.</t>
  </si>
  <si>
    <t>Nighttime urban sidewalk beside a street with parked and moving cars; large cardboard boxes placed on the pedestrian path next to a hedge and wall.</t>
  </si>
  <si>
    <t>Nighttime urban sidewalk with a white Mazda CX-5 parked on the pedestrian path beside a road intersection.</t>
  </si>
  <si>
    <t>Nighttime urban sidewalk lined with trees and parked cars beside a roadway, with wet pavement and street lighting.</t>
  </si>
  <si>
    <t>Urban street at dusk with a brick sidewalk and multiple vehicles at a junction; one car appears to be reversing or maneuvering near a pedestrian area.</t>
  </si>
  <si>
    <t>Urban sidewalk at night with large discarded cardboard items obstructing the pedestrian path near parked cars.</t>
  </si>
  <si>
    <t>Well-lit urban sidewalk at night running alongside a road with light traffic and landscaped vegetation.</t>
  </si>
  <si>
    <t>Nighttime urban street with cars near a crosswalk and a sidewalk cluttered with cut branches and debris, partially blocking pedestrian passage.</t>
  </si>
  <si>
    <t>Nighttime urban sidewalk beside a road, with large cardboard boxes obstructing part of the pedestrian path near a curb and hedge, while cars pass by.</t>
  </si>
  <si>
    <t>Nighttime urban signalized intersection with pedestrians using a crosswalk and multiple vehicles waiting or moving through.</t>
  </si>
  <si>
    <t>Nighttime urban street with a separated brick sidewalk alongside a multi-lane road with light traffic and street lighting.</t>
  </si>
  <si>
    <t>Nighttime urban sidewalk adjacent to a lit roadway with cars and a crosswalk; generally orderly environment.</t>
  </si>
  <si>
    <t>Well-lit urban sidewalk at night alongside a roadway with light traffic, vegetation, and perimeter fencing; no people visible.</t>
  </si>
  <si>
    <t>Nighttime urban street with several cars parked partly on a sidewalk next to high-rise residential and commercial buildings.</t>
  </si>
  <si>
    <t>Nighttime view of a pedestrian pathway with cracked and uneven asphalt surface next to planted vegetation and a paved side strip.</t>
  </si>
  <si>
    <t>Nighttime urban residential sidewalk with cardboard boxes and debris partially blocking the pedestrian path next to a low wall, with parked cars and traffic signs nearby.</t>
  </si>
  <si>
    <t>Evening urban sidewalk with a person walking away from the camera beside a low stone wall and parked cars.</t>
  </si>
  <si>
    <t>Nighttime urban street intersection with a car stopped partly on or crossing a sidewalk at a corner, near other parked vehicles.</t>
  </si>
  <si>
    <t>Nighttime urban sidewalk with a parked car and large debris fully blocking pedestrian passage.</t>
  </si>
  <si>
    <t>Nighttime urban street with a wide brick sidewalk alongside a multi-lane road, light traffic, and trees providing shade; no people visible.</t>
  </si>
  <si>
    <t>Nighttime view of an urban pedestrian and cycling path with adjacent sidewalk, trees, bushes, and parked vehicles along a parallel roadway.</t>
  </si>
  <si>
    <t>Narrow urban sidewalk at night partly blocked by a parked car and large discarded furniture/debris, forcing pedestrians into a constricted path.</t>
  </si>
  <si>
    <t>Night-time urban sidewalk alongside a street with parked cars and utility infrastructure; no clear pedestrians or vehicles in motion.</t>
  </si>
  <si>
    <t>Nighttime urban street with a wide brick sidewalk alongside a lightly trafficked road, lined with trees and vegetation, no visible pedestrians.</t>
  </si>
  <si>
    <t>Nighttime urban sidewalk lined with trees and vegetation alongside a roadway, with no visible pedestrians or vehicles on the walkway.</t>
  </si>
  <si>
    <t>Nighttime urban residential street with cars parked along the curb and large cardboard boxes and packaging obstructing the sidewalk and extending into the street.</t>
  </si>
  <si>
    <t>Nighttime urban pedestrian pathway with nearby roadway traffic and vegetation, illuminated by streetlights.</t>
  </si>
  <si>
    <t>Nighttime urban sidewalk alongside parked cars on a residential or mixed-use street, well lit and apparently orderly.</t>
  </si>
  <si>
    <t>Nighttime urban sidewalk with parked cars and a large fallen object and debris obstructing the pedestrian path.</t>
  </si>
  <si>
    <t>Nighttime urban street with multiple parked cars and large piles of branches and debris obstructing the sidewalk near the curb.</t>
  </si>
  <si>
    <t>Urban sidewalk at dusk next to a parked car, with a large discarded object and uneven pavement obstructing the pedestrian path.</t>
  </si>
  <si>
    <t>Nighttime urban street intersection with a pedestrian crosswalk and a crumpled piece of clothing lying in the middle of the road.</t>
  </si>
  <si>
    <t>Nighttime urban sidewalk adjacent to a street with a parked car and some surface wear on the paving stones.</t>
  </si>
  <si>
    <t>Nighttime view of a paved pedestrian or low-traffic path with visible longitudinal cracks and a stained/worn patch on the surface.</t>
  </si>
  <si>
    <t>Nighttime sidewalk or pedestrian path with brick pavers and a large standing water puddle near the center.</t>
  </si>
  <si>
    <t>Nighttime urban walkway with adjacent planted median and parked vehicles, lit by streetlights and traffic signals.</t>
  </si>
  <si>
    <t>Nighttime urban sidewalk/footpath alongside a roadway with light traffic, vegetation, and street lighting; no visible pedestrians.</t>
  </si>
  <si>
    <t>Nighttime urban sidewalk and adjacent roadway with vegetation and street lighting, no visible pedestrians.</t>
  </si>
  <si>
    <t>Nighttime urban sidewalk with several raised and displaced paving slabs near a tree planter.</t>
  </si>
  <si>
    <t>Urban residential street at dusk with a sidewalk partially blocked by bulky waste and cardboard boxes placed behind a parked car.</t>
  </si>
  <si>
    <t>Nighttime urban sidewalk alongside a street with a parked car and curb markings, no visible pedestrians or active traffic.</t>
  </si>
  <si>
    <t>Nighttime urban pedestrian path/sidewalk separated from a nearby roadway with vegetation on both sides and light vehicular traffic in the background.</t>
  </si>
  <si>
    <t>Nighttime view of a pedestrian sidewalk with a significant raised joint and multiple cracks across the walking surface beside landscaped vegetation.</t>
  </si>
  <si>
    <t>Nighttime urban sidewalk beside a street with parked car and curb markings; view is mostly of the pavement bricks under street lighting.</t>
  </si>
  <si>
    <t>Nighttime view of a paved pedestrian sidewalk with a sizable water puddle and nearby parked vehicle and bollard.</t>
  </si>
  <si>
    <t>Nighttime urban sidewalk near a crosswalk with stacked construction debris and trash bags placed beside an electrical pole and cabinets.</t>
  </si>
  <si>
    <t>Nighttime urban street with a sidewalk partially blocked by a fallen small tree/vegetation debris and a tipped plastic item near a crosswalk.</t>
  </si>
  <si>
    <t>Nighttime view of a paved sidewalk with a sizable water puddle and a parked vehicle at the edge.</t>
  </si>
  <si>
    <t>Nighttime urban sidewalk alongside a street with parked cars and bollards; no clear immediate hazards visible.</t>
  </si>
  <si>
    <t>Nighttime pedestrian walkway lined with vegetation, ending at a row of parked vehicles and a barrier under street lighting.</t>
  </si>
  <si>
    <t>Nighttime pedestrian walkway leading toward a road, with barriers blocking access and some leaf litter and pavement cracks.</t>
  </si>
  <si>
    <t>Nighttime tree-lined urban sidewalk separated from an adjacent roadway by vegetation and railings, with no visible pedestrians or vehicles on the path.</t>
  </si>
  <si>
    <t>Nighttime urban intersection with a pedestrian walking on a marked crosswalk toward a side street with moderate vehicle traffic.</t>
  </si>
  <si>
    <t>Nighttime urban intersection with two pedestrians walking on a marked crosswalk while cars wait at a traffic light.</t>
  </si>
  <si>
    <t>Nighttime urban sidewalk and path with parked vehicles along the side and landscaping, no visible pedestrians or moving traffic.</t>
  </si>
  <si>
    <t>Nighttime view of a cracked asphalt surface adjacent to a paved/brick edge, likely a sidewalk or pedestrian path.</t>
  </si>
  <si>
    <t>Residential street at dusk with cardboard boxes and large packaging obstructing the sidewalk and partially extending into the roadway near a parked car.</t>
  </si>
  <si>
    <t>Nighttime urban sidewalk with parked cars along the street side, trees, a high wall on the right, and a few pedestrians walking ahead.</t>
  </si>
  <si>
    <t>[{'id': 'obj_1', 'class': 'sidewalk', 'description': 'Brick-paved sidewalk running from foreground bottom-right toward mid-right of the image', 'position': 'right side of scene', 'orientation': 'parallel to roadway'}, {'id': 'obj_2', 'class': 'roadway', 'description': 'Two-lane urban street with crosswalk markings near the center-left', 'position': 'left and upper portions of scene', 'orientation': 'running horizontally across image'}, {'id': 'obj_3', 'class': 'car', 'description': 'Blue car driving or parked near crosswalk, rear facing camera', 'position': 'upper-center of scene on road', 'orientation': 'facing away from camera'}, {'id': 'obj_4', 'class': 'car', 'description': 'Yellow car parked on right side of road behind blue car', 'position': 'upper-left of scene on road shoulder', 'orientation': 'facing left or away'}, {'id': 'obj_5', 'class': 'car', 'description': 'Small dark car parked further back on left side of road', 'position': 'upper-left background', 'orientation': 'parallel to curb'}, {'id': 'obj_6', 'class': 'traffic_sign', 'description': 'No-parking or no-stopping sign on a pole by the curb near crosswalk', 'position': 'upper-right of scene between sidewalk and roadway', 'orientation': 'facing roadway'}, {'id': 'obj_7', 'class': 'vegetation_debris', 'description': 'Large pile of cut branches, leaves, and other yard waste placed along curb on the sidewalk edge', 'position': 'lower-left to mid-right along front edge of sidewalk by the street', 'orientation': 'linear pile parallel to curb'}, {'id': 'obj_8', 'class': 'trash_container', 'description': 'Light-colored plastic container or trash bin lying on its side within the vegetation debris', 'position': 'lower-center near curb line', 'orientation': 'on its side, opening facing left'}]</t>
  </si>
  <si>
    <t>[{'id': 'obj_1', 'class': 'sidewalk', 'description': 'Brick-paved sidewalk in the foreground and right side of the image', 'position': 'foreground and right side', 'orientation': 'parallel to the street'}, {'id': 'obj_2', 'class': 'road', 'description': 'Two-lane roadway with crosswalk markings and vehicles', 'position': 'middle and left side of image', 'orientation': 'runs horizontally across the frame'}, {'id': 'obj_3', 'class': 'car', 'description': 'Blue car driving away from camera near crosswalk', 'position': 'mid-right on the road', 'orientation': 'moving away from viewer'}, {'id': 'obj_4', 'class': 'car', 'description': 'Yellow car parked or moving near curb across the street', 'position': 'mid-left on opposite side of the road', 'orientation': 'roughly parallel to street'}, {'id': 'obj_5', 'class': 'car', 'description': 'Small dark car parked along curb farther back', 'position': 'background left on opposite side of the road', 'orientation': 'parallel to curb'}, {'id': 'obj_6', 'class': 'vegetation_debris', 'description': 'Uprooted plants, soil, and branches lying along the sidewalk edge', 'position': 'foreground left and center on the sidewalk edge beside the street', 'orientation': 'stretched longitudinally along curb'}, {'id': 'obj_7', 'class': 'waste_container', 'description': 'Fallen or tipped cylindrical container among the plants on the sidewalk', 'position': 'center-left on sidewalk among debris', 'orientation': 'lying on its side'}, {'id': 'obj_8', 'class': 'traffic_sign_pole', 'description': 'Vertical pole with a no-parking or similar traffic sign', 'position': 'right side near curb', 'orientation': 'vertical'}, {'id': 'obj_9', 'class': 'crosswalk', 'description': 'Painted pedestrian crosswalk across the roadway', 'position': 'mid-background across the street', 'orientation': 'perpendicular to roadway direction'}]</t>
  </si>
  <si>
    <t>[{'id': 'obj_1', 'class': 'sidewalk', 'description': 'Paved pedestrian walkway running from bottom foreground toward the upper left background of the image', 'position': 'occupies most of the left half of the scene', 'orientation': 'aligned roughly from bottom to top of frame'}, {'id': 'obj_2', 'class': 'cardboard_box', 'description': "Large open cardboard box labeled 'KAZA' with long cardboard pieces and packaging sticking out", 'position': 'left-center of image, partially on the sidewalk adjacent to low stone wall', 'orientation': 'box opening facing upward; tall pieces leaning diagonally toward upper right'}, {'id': 'obj_3', 'class': 'low_wall', 'description': 'Short stone-and-concrete wall bordering a raised grassy strip next to the building', 'position': 'runs from mid-right foreground toward center background', 'orientation': 'parallel to sidewalk'}, {'id': 'obj_4', 'class': 'building', 'description': 'Multi-story residential building with ground floor supported by columns', 'position': 'right side and upper right of image', 'orientation': 'front facade roughly parallel to sidewalk'}, {'id': 'obj_5', 'class': 'road_sign', 'description': 'Blue road sign with a white arrow indicating one-way traffic', 'position': 'upper left background near the road', 'orientation': 'facing toward approaching vehicles/pedestrians from camera side'}, {'id': 'obj_6', 'class': 'parking_sign', 'description': "Blue 'P' parking sign on a pole", 'position': 'left background beyond the low wall, near the street', 'orientation': 'facing the roadway'}, {'id': 'obj_7', 'class': 'vehicles', 'description': 'Several parked cars along the street in the background', 'position': 'upper middle and left background, beyond the low wall and bushes', 'orientation': 'parked parallel to the street'}, {'id': 'obj_8', 'class': 'vegetation', 'description': 'Bushes and grass patches along the wall and near the building', 'position': 'left-middle behind the wall and right-middle on raised area', 'orientation': 'stationary'}, {'id': 'obj_9', 'class': 'mirror_or_sign_frame', 'description': 'Circular frame or convex mirror mounted on a pole near the wall', 'position': 'upper left-middle, slightly right of the bush', 'orientation': 'facing toward the camera/sidewalk'}]</t>
  </si>
  <si>
    <t>[{'id': 'obj_1', 'class': 'sidewalk', 'description': 'Paved brick sidewalk running from bottom foreground toward the upper left side of the image alongside the street', 'position': 'covers most of the lower and central parts of the scene', 'orientation': 'aligned roughly bottom-to-top of image'}, {'id': 'obj_2', 'class': 'cardboard_boxes', 'description': 'Several large standing cardboard boxes stacked together directly on the sidewalk next to the hedge and low wall', 'position': 'right side of sidewalk, mid-right of image', 'orientation': 'boxes standing vertically and leaning slightly toward the street/hedge'}, {'id': 'obj_3', 'class': 'hedge', 'description': 'Dense green hedge forming a boundary between the sidewalk and a raised area or property', 'position': 'right edge of image running vertically', 'orientation': 'parallel to sidewalk'}, {'id': 'obj_4', 'class': 'street', 'description': 'Roadway adjacent to the sidewalk with curb and red-white painted edge', 'position': 'left side and upper part of the image', 'orientation': 'runs roughly horizontally across top-left'}, {'id': 'obj_5', 'class': 'car', 'description': 'White car stopped or parked close to the curb near the top left', 'position': 'upper left of image, adjacent to curb', 'orientation': 'oriented along the road direction'}, {'id': 'obj_6', 'class': 'car', 'description': 'White SUV-like vehicle further along the road with motion blur, likely moving', 'position': 'upper center-left of image on the street', 'orientation': 'traveling along the roadway'}, {'id': 'obj_7', 'class': 'pole', 'description': 'Black-and-white striped roadside pole or signpost near the curb', 'position': 'left-center of the image between sidewalk and street', 'orientation': 'vertical'}, {'id': 'obj_8', 'class': 'manhole_cover', 'description': 'Circular manhole or utility cover embedded in the sidewalk', 'position': 'left side of sidewalk, mid-left of image', 'orientation': 'horizontal on ground'}]</t>
  </si>
  <si>
    <t>[{'id': 'obj_1', 'class': 'sidewalk', 'description': 'Paved pedestrian walkway with brick pattern on the right side of the image', 'position': 'right foreground extending to center background', 'orientation': 'runs from bottom center-right toward upper center of the image'}, {'id': 'obj_2', 'class': 'pathway', 'description': 'Asphalt path adjacent to the sidewalk, possibly for bicycles or pedestrians', 'position': 'center foreground extending to center background', 'orientation': 'runs from bottom center toward upper center'}, {'id': 'obj_3', 'class': 'parked_cars', 'description': 'Row of cars parked parallel along street next to curb', 'position': 'left midground and background', 'orientation': 'aligned along the road, facing away toward the distance'}, {'id': 'obj_4', 'class': 'road', 'description': 'Vehicular roadway with moving or stopped traffic lights visible in distance', 'position': 'left side beyond parked cars', 'orientation': 'runs roughly parallel to the path toward the background'}, {'id': 'obj_5', 'class': 'trees', 'description': 'Mature trees lining both sides of pathways and along street', 'position': 'left and right sides, foreground to background', 'orientation': 'upright, forming a canopy over parts of the path'}, {'id': 'obj_6', 'class': 'bushes', 'description': 'Trimmed hedges forming a barrier between sidewalk and adjacent area', 'position': 'right midground along the path', 'orientation': 'linear strip parallel to the sidewalk'}, {'id': 'obj_7', 'class': 'street_lights', 'description': 'Illuminated street lights providing lighting for road and sidewalk', 'position': 'left background and midground', 'orientation': 'vertical poles extending upward'}, {'id': 'obj_8', 'class': 'traffic_lights', 'description': 'Red and green traffic lights visible in the distance', 'position': 'center background', 'orientation': 'facing along the roadway'}]</t>
  </si>
  <si>
    <t>[{'id': 'obj_1', 'class': 'sidewalk', 'description': 'Brick-paved sidewalk running from foreground to background along the right side of the road', 'position': 'occupies most of the lower and central part of the image', 'orientation': 'aligned roughly from bottom to top of the frame'}, {'id': 'obj_2', 'class': 'road', 'description': 'Street with parked cars along the curb, visible on the left side of the image', 'position': 'left edge of the scene, parallel to the sidewalk', 'orientation': 'runs from bottom-left towards the top-left/background'}, {'id': 'obj_3', 'class': 'car', 'description': 'Black car parked alongside the curb closest to the camera', 'position': 'left foreground', 'orientation': 'parked parallel to the curb facing away from the camera'}, {'id': 'obj_4', 'class': 'cars', 'description': 'Several additional cars parked in a line along the street', 'position': 'left midground to background', 'orientation': 'parallel to the curb, facing away from the camera'}, {'id': 'obj_5', 'class': 'pedestrian', 'description': 'Single person walking along the sidewalk away from the camera', 'position': 'center-right background', 'orientation': 'back facing the camera, moving further down the sidewalk'}, {'id': 'obj_6', 'class': 'tree', 'description': 'Street tree with branches extending partially over the sidewalk', 'position': 'left-center of the sidewalk edge', 'orientation': 'vertical trunk with canopy extending overhead'}, {'id': 'obj_7', 'class': 'street_light', 'description': 'Tall streetlights illuminating the road and sidewalk', 'position': 'background, left side near the road', 'orientation': 'upright poles'}, {'id': 'obj_8', 'class': 'building', 'description': 'Multi-story residential or mixed-use buildings across the street', 'position': 'far background, left side', 'orientation': 'faces the street'}, {'id': 'obj_9', 'class': 'wall', 'description': 'Long concrete wall with lattice and vegetation on top, bordering the sidewalk', 'position': 'right side of the image running from foreground to background', 'orientation': 'parallel to the sidewalk'}, {'id': 'obj_10', 'class': 'fire_hydrant', 'description': 'Red vertical hydrant or standpipe mounted beside the wall on the sidewalk', 'position': 'right mid-foreground of the sidewalk', 'orientation': 'vertical post'}, {'id': 'obj_11', 'class': 'manhole_cover', 'description': 'Round manhole or utility cover set into the sidewalk surface', 'position': 'slightly left of the center in the mid-foreground', 'orientation': 'horizontal, flush with pavement'}]</t>
  </si>
  <si>
    <t>[{'id': 'obj_1', 'class': 'sidewalk', 'description': 'Paved brick sidewalk running from foreground to background along the right side of the street', 'position': 'covers most of the lower and central part of the image', 'orientation': 'aligned roughly front-to-back with viewer perspective'}, {'id': 'obj_2', 'class': 'cardboard_box', 'description': 'Large upright cardboard box placed on the sidewalk close to the hedge and wall', 'position': 'right-center of the image on the sidewalk edge', 'orientation': 'standing vertically, broad face toward camera'}, {'id': 'obj_3', 'class': 'cardboard_box', 'description': 'Very large flattened cardboard box leaning against hedge/wall, protruding into walking path', 'position': 'right-middle of the image behind obj_2', 'orientation': 'leaning diagonally toward the sidewalk'}, {'id': 'obj_4', 'class': 'hedge', 'description': 'Dense green hedge along right side forming a boundary with the sidewalk', 'position': 'right side of image from mid-height upwards', 'orientation': 'parallel to sidewalk'}, {'id': 'obj_5', 'class': 'car', 'description': 'White car parked at curb by the junction, facing left', 'position': 'upper-center/left of the image near the roadway', 'orientation': 'side view, parallel to street'}, {'id': 'obj_6', 'class': 'car', 'description': 'Red car partially visible behind white car', 'position': 'upper-left background', 'orientation': 'mostly obscured, appears parked'}, {'id': 'obj_7', 'class': 'pole', 'description': 'Black-and-white striped pole near curb between sidewalk and roadway', 'position': 'left-center of image near edge of sidewalk', 'orientation': 'vertical'}, {'id': 'obj_8', 'class': 'manhole_cover', 'description': 'Circular manhole cover embedded in sidewalk pavement', 'position': 'left-lower quadrant of image on sidewalk', 'orientation': 'horizontal'}]</t>
  </si>
  <si>
    <t>[{'id': 'obj_1', 'class': 'sidewalk', 'description': 'Paved pedestrian sidewalk running from foreground bottom toward background left along the street', 'position': 'occupies most of the lower and left side of the image', 'orientation': 'aligned roughly bottom-to-top toward the background'}, {'id': 'obj_2', 'class': 'cardboard_box', 'description': 'Large KAZA cardboard box with packaging materials sticking out, placed at the edge of the sidewalk overhanging the curb and wall', 'position': 'front-center of the image along the right edge of the sidewalk', 'orientation': 'box opening facing toward the camera, long side parallel to sidewalk'}, {'id': 'obj_3', 'class': 'cardboard_box', 'description': 'Additional flattened or open cardboard box with packing material, lying on ground in dirt area above the retaining wall', 'position': 'mid-right of the image, above the concrete wall', 'orientation': 'lying horizontally'}, {'id': 'obj_4', 'class': 'retaining_wall', 'description': 'Low concrete wall separating sidewalk from higher dirt/vegetation area', 'position': 'right side of the sidewalk extending from foreground to mid-right background', 'orientation': 'parallel to sidewalk'}, {'id': 'obj_5', 'class': 'street', 'description': 'Residential street with parked vehicles and traffic signs', 'position': 'left and background of the image', 'orientation': 'runs roughly from left foreground to right background'}, {'id': 'obj_6', 'class': 'car', 'description': 'White car parked along the street next to traffic signs', 'position': 'left-middle of the image', 'orientation': 'parked parallel to curb, facing away from camera'}, {'id': 'obj_7', 'class': 'car', 'description': 'White car parked near building entrances further back', 'position': 'mid-right background near garages', 'orientation': 'parked facing left'}, {'id': 'obj_8', 'class': 'traffic_sign', 'description': 'Blue right-turn mandatory sign and yield sign on same pole', 'position': 'left-middle, near parked white car', 'orientation': 'facing toward drivers approaching from foreground'}, {'id': 'obj_9', 'class': 'traffic_sign', 'description': 'One-way arrow sign', 'position': 'center-left background above street', 'orientation': 'facing toward oncoming traffic'}, {'id': 'obj_10', 'class': 'parking_sign', 'description': 'Blue parking sign on pole', 'position': 'mid-right background near parked cars', 'orientation': 'facing toward street'}, {'id': 'obj_11', 'class': 'vegetation', 'description': 'Bush next to sidewalk and grass/soil area behind retaining wall', 'position': 'right-middle near box and further back', 'orientation': 'stationary'}, {'id': 'obj_12', 'class': 'building', 'description': 'Multi-story residential buildings with balconies and lit windows', 'position': 'background across most of the image', 'orientation': 'front facades facing street'}, {'id': 'obj_13', 'class': 'pedestrian_shadow', 'description': 'Shadow of a person cast on the sidewalk, indicating a nearby pedestrian just outside frame', 'position': 'bottom-center of the image', 'orientation': 'shadow extending upward'}, {'id': 'obj_14', 'class': 'plastic_waste', 'description': 'Loose plastic bags and packaging material near and inside boxes', 'position': 'primarily mid-right above wall and partly inside box at center-right', 'orientation': 'lying on ground or hanging from box'}]</t>
  </si>
  <si>
    <t>[{'id': 'obj_1', 'class': 'sidewalk', 'description': 'Paved brick sidewalk running from bottom foreground toward the mid-ground along the right side of the image', 'position': 'foreground and mid-ground center-left', 'orientation': 'aligned parallel to the street'}, {'id': 'obj_2', 'class': 'cardboard_box', 'description': 'Large upright cardboard box placed on the sidewalk near the wall and bushes', 'position': 'right side of sidewalk in mid-ground', 'orientation': 'standing vertically, face toward camera'}, {'id': 'obj_3', 'class': 'large_object', 'description': 'Large flat panel or board (possibly a mattress or wooden panel) leaning diagonally against the wall/hedge behind the box', 'position': 'right side of sidewalk behind obj_2', 'orientation': 'leaning diagonally over part of the sidewalk'}, {'id': 'obj_4', 'class': 'vegetation', 'description': 'Dense hedge or bushes along a low wall at the right edge of the sidewalk', 'position': 'right edge of the scene', 'orientation': 'forms a linear barrier along the sidewalk'}, {'id': 'obj_5', 'class': 'car', 'description': 'White car on the adjacent street partially visible on the left mid-ground', 'position': 'left side of image, on the roadway', 'orientation': 'roughly parallel to the sidewalk, facing away from camera'}, {'id': 'obj_6', 'class': 'car', 'description': 'Light-colored SUV or minivan in the mid-ground on the street', 'position': 'center-left, beyond the sidewalk at the curb', 'orientation': 'aligned with traffic lane, facing away from camera'}, {'id': 'obj_7', 'class': 'traffic_pole', 'description': 'Striped vertical pole likely for signage or traffic indication', 'position': 'left-center near curb between sidewalk and street', 'orientation': 'vertical'}, {'id': 'obj_8', 'class': 'manhole_cover', 'description': 'Circular manhole cover embedded in the sidewalk paving', 'position': 'left side of sidewalk in mid-ground', 'orientation': 'horizontal'}]</t>
  </si>
  <si>
    <t>[{'id': 'obj_1', 'class': 'sidewalk', 'description': 'Brick-paved sidewalk running from bottom-right foreground along right side of image', 'position': 'right side of scene, foreground to background', 'orientation': 'parallel to roadway'}, {'id': 'obj_2', 'class': 'road', 'description': 'Two-lane urban street with crosswalk and lane markings', 'position': 'left and center background', 'orientation': 'runs horizontally across image'}, {'id': 'obj_3', 'class': 'car', 'description': 'Blue car driving or stopped near crosswalk', 'position': 'center-right background, adjacent to crosswalk', 'orientation': 'facing left'}, {'id': 'obj_4', 'class': 'car', 'description': 'Yellow car parked along curb behind blue car', 'position': 'center-left background', 'orientation': 'parallel to curb'}, {'id': 'obj_5', 'class': 'car', 'description': 'Small dark car parked farther along the street', 'position': 'far left background near bushes', 'orientation': 'parallel to curb'}, {'id': 'obj_6', 'class': 'traffic_sign', 'description': 'No-left-turn or similar prohibition sign on metal pole', 'position': 'right side midground at edge of sidewalk near curb', 'orientation': 'facing toward traffic'}, {'id': 'obj_7', 'class': 'vegetation_debris', 'description': 'Large pile of cut branches, leaves, and yard waste blocking much of the sidewalk edge', 'position': 'lower center foreground extending along right edge near curb', 'orientation': 'pile aligned along sidewalk length'}, {'id': 'obj_8', 'class': 'container', 'description': 'Light-colored plastic container or trash bin lying on its side within vegetation pile', 'position': 'lower-center foreground, partially hidden in debris', 'orientation': 'tipped over on side'}, {'id': 'obj_9', 'class': 'building', 'description': 'Multi-story residential/commercial buildings with balconies and illuminated windows', 'position': 'top and mid-background across the scene', 'orientation': 'fronts facing street'}]</t>
  </si>
  <si>
    <t>[{'id': 'obj_1', 'class': 'sidewalk', 'description': 'Paved brick sidewalk running from bottom center toward upper right side of image', 'position': 'right side of roadway, main foreground walking area', 'orientation': 'parallel to road, receding away from camera'}, {'id': 'obj_2', 'class': 'road', 'description': 'Paved road running from bottom left toward upper center with curb separating it from sidewalk', 'position': 'left side of image', 'orientation': 'receding away from camera toward intersection'}, {'id': 'obj_3', 'class': 'car', 'description': 'White hatchback with rear lights on near intersection, slightly angled to the right', 'position': 'upper center of image, partly in junction area', 'orientation': 'facing away and slightly to right relative to camera'}, {'id': 'obj_4', 'class': 'van', 'description': 'White van parked on the opposite side of the junction', 'position': 'upper left background', 'orientation': 'side-on to camera, aligned with cross street'}, {'id': 'obj_5', 'class': 'car', 'description': 'Light-colored car in background beyond the white hatchback at the junction', 'position': 'upper center-right background', 'orientation': 'facing roughly toward camera'}, {'id': 'obj_6', 'class': 'building', 'description': 'Urban residential or mixed-use buildings along the street', 'position': 'background of scene on both sides of road', 'orientation': 'front facades facing street'}, {'id': 'obj_7', 'class': 'vegetation', 'description': 'Shrubs or hedges along raised planter on right side of sidewalk', 'position': 'right edge of image, mid to upper section', 'orientation': 'linear along sidewalk'}, {'id': 'obj_8', 'class': 'drain', 'description': 'Roadside storm drain at edge of curb near lower middle of image', 'position': 'left of sidewalk where curb curves', 'orientation': 'flush with road surface'}]</t>
  </si>
  <si>
    <t>[{'id': 'obj_1', 'class': 'roadway', 'description': 'Asphalt intersection with marked pedestrian crosswalk', 'position': 'occupies most of foreground and middle of image', 'orientation': 'crosswalk stripes running horizontally across image'}, {'id': 'obj_2', 'class': 'car', 'description': 'Dark car parked on right side of side street near building', 'position': 'mid-right of image next to sidewalk', 'orientation': 'parallel to curb, facing away from camera'}, {'id': 'obj_3', 'class': 'car', 'description': 'White car parked along left side of side street in background', 'position': 'center-left background', 'orientation': 'parallel to curb'}, {'id': 'obj_4', 'class': 'car', 'description': 'Multiple additional parked cars lining left side of distant street', 'position': 'left background', 'orientation': 'parallel to curb, facing away from camera'}, {'id': 'obj_5', 'class': 'building', 'description': 'Multi-story residential/commercial building with balconies and air conditioners', 'position': 'center and right background bordering the intersection', 'orientation': 'front facade facing the intersection'}, {'id': 'obj_6', 'class': 'streetlight', 'description': 'Illuminated streetlights along the distant street', 'position': 'left background', 'orientation': 'upright vertical poles'}, {'id': 'obj_7', 'class': 'debris', 'description': 'Piece of patterned cloth lying on the roadway near the crosswalk', 'position': 'lower-center of image, just before the crosswalk', 'orientation': 'spread irregularly on the road surface'}, {'id': 'obj_8', 'class': 'debris', 'description': 'Small metallic-looking objects (likely screws or springs) scattered on the roadway', 'position': 'lower-center of image slightly below the cloth', 'orientation': 'clustered close together on the asphalt'}, {'id': 'obj_9', 'class': 'sidewalk', 'description': 'Raised curb and walkway along left side of the roadway', 'position': 'left foreground and midground', 'orientation': 'running from bottom-left toward center'}, {'id': 'obj_10', 'class': 'sign', 'description': 'Blue rectangular traffic sign indicating one-way street and parking', 'position': 'center-left background and right background near parked car', 'orientation': 'facing approaching drivers'}]</t>
  </si>
  <si>
    <t>[{'id': 'obj_1', 'class': 'sidewalk', 'description': 'Paved brick sidewalk extending from bottom foreground to mid-background along the right side of the street', 'position': 'covers most of lower and central part of image', 'orientation': 'runs from bottom toward upper center'}, {'id': 'obj_2', 'class': 'cardboard_box', 'description': 'Large upright cardboard box placed on the right edge of the sidewalk next to bushes', 'position': 'right-center of image on sidewalk edge', 'orientation': 'standing vertically, broad side facing camera'}, {'id': 'obj_3', 'class': 'cardboard_box', 'description': 'Large flattened or leaning cardboard box behind the upright box, encroaching further into sidewalk space', 'position': 'right-center, slightly behind obj_2 on sidewalk', 'orientation': 'leaning diagonally against wall or bushes'}, {'id': 'obj_4', 'class': 'vegetation', 'description': 'Dense green shrubbery forming a hedge along right side of sidewalk', 'position': 'right edge of image', 'orientation': 'vertical hedge line parallel to sidewalk'}, {'id': 'obj_5', 'class': 'car', 'description': 'White car parked or moving on street adjacent to sidewalk', 'position': 'upper-center/left background on roadway', 'orientation': 'side view, facing left or right along road'}, {'id': 'obj_6', 'class': 'car', 'description': 'Red car partially visible behind white car on street', 'position': 'upper-left background', 'orientation': 'side/rear view, aligned with roadway'}, {'id': 'obj_7', 'class': 'pole', 'description': 'Black-and-white striped pole on curb between sidewalk and street', 'position': 'left-center of image near curb', 'orientation': 'vertical'}, {'id': 'obj_8', 'class': 'manhole_cover', 'description': 'Circular manhole cover embedded in sidewalk near curb', 'position': 'left-center foreground on sidewalk', 'orientation': 'horizontal'}]</t>
  </si>
  <si>
    <t>[{'id': 'obj_1', 'class': 'sidewalk', 'description': 'Brick-paved sidewalk extending from bottom center toward the mid-right of the image along a low retaining wall.', 'position': 'foreground and right side of scene', 'orientation': 'aligned roughly vertically in image from bottom to middle'}, {'id': 'obj_2', 'class': 'car', 'description': 'White hatchback with brake lights on, just beyond the curb at the end of the sidewalk, oriented roughly left-right across the image.', 'position': 'center upper portion, near intersection', 'orientation': 'facing toward the right side of the image'}, {'id': 'obj_3', 'class': 'van', 'description': 'White van parked along the opposite side of the street behind the car.', 'position': 'upper left of scene, across the roadway', 'orientation': 'parallel to street, facing right'}, {'id': 'obj_4', 'class': 'roadway', 'description': 'Paved street crossing horizontally behind the sidewalk edge, forming an intersection.', 'position': 'upper third of image behind curb line', 'orientation': 'horizontal across image'}, {'id': 'obj_5', 'class': 'curb', 'description': 'Raised curb separating brick sidewalk from the roadway with a storm drain near the intersection.', 'position': 'left edge of sidewalk, running from bottom center toward upper center', 'orientation': 'vertical toward center top'}, {'id': 'obj_6', 'class': 'storm_drain', 'description': 'Metal grate drain embedded at the edge of the curb near the intersection.', 'position': 'just above the middle of the image near the curb', 'orientation': 'embedded in ground'}, {'id': 'obj_7', 'class': 'retaining_wall', 'description': 'Low masonry wall with vegetation above it lining the right side of the sidewalk.', 'position': 'right edge of scene from mid-height upward', 'orientation': 'vertical along right side'}]</t>
  </si>
  <si>
    <t>[{'id': 'obj_1', 'class': 'sidewalk', 'description': 'Wide paved brick sidewalk extending from foreground to background along the left side of the road', 'position': 'dominates lower and central part of image, parallel to road', 'orientation': 'aligned roughly from bottom-center toward upper-center'}, {'id': 'obj_2', 'class': 'road', 'description': 'Multi-lane asphalt roadway running parallel to the sidewalk on the right', 'position': 'right half of image', 'orientation': 'extends from lower-right toward upper-right'}, {'id': 'obj_3', 'class': 'tree', 'description': 'Mature tree rooted in the sidewalk near curb casting shadow onto walkway', 'position': 'right side of sidewalk, mid-right foreground', 'orientation': 'trunk vertical with canopy overhanging sidewalk'}, {'id': 'obj_4', 'class': 'trees', 'description': 'Row of additional trees lining the sidewalk further along', 'position': 'upper-center to upper-right along sidewalk edge', 'orientation': 'aligned along sidewalk'}, {'id': 'obj_5', 'class': 'street_lighting', 'description': 'Street lights illuminating road and sidewalk', 'position': 'upper-right and background', 'orientation': 'vertical poles'}, {'id': 'obj_6', 'class': 'bicycle_rack_guardrail', 'description': 'Low metal railings separating bushes from sidewalk', 'position': 'left side of sidewalk extending into background', 'orientation': 'parallel to sidewalk'}, {'id': 'obj_7', 'class': 'vegetation', 'description': 'Bushes and landscaping along left side behind railings', 'position': 'left edge of image', 'orientation': 'linear strip'}, {'id': 'obj_8', 'class': 'buildings', 'description': 'Urban buildings and residential structures across and along the road', 'position': 'background, especially upper-right', 'orientation': 'various orientations facing street'}, {'id': 'obj_9', 'class': 'parking_markings', 'description': 'Blue painted lines on sidewalk and red-yellow curb markings along road edge', 'position': 'lower-right on sidewalk and curb line along right edge', 'orientation': 'parallel/perpendicular to curb'}]</t>
  </si>
  <si>
    <t>[{'id': 'obj_1', 'class': 'sidewalk', 'description': 'Wide pedestrian walkway extending from foreground to background, split between concrete and paving stones', 'position': 'center of image, running from bottom edge to upper center', 'orientation': 'longitudinal, aligned with camera view'}, {'id': 'obj_2', 'class': 'road', 'description': 'Vehicle roadway parallel to the sidewalk with lane lighting and faint car lights', 'position': 'left side of image, partially visible along length', 'orientation': 'parallel to sidewalk'}, {'id': 'obj_3', 'class': 'vegetation', 'description': 'Bushes, flowerbeds, and small palm-like plants bordering the sidewalk and road', 'position': 'left and right edges of sidewalk, mainly lower half', 'orientation': 'static landscaping'}, {'id': 'obj_4', 'class': 'trees', 'description': 'Tall trees providing canopy over sidewalk, especially dense on right side', 'position': 'upper half of image, both sides of path', 'orientation': 'branches overhanging walkway'}, {'id': 'obj_5', 'class': 'lighting', 'description': 'Street and ambient lights illuminating the path and trees, with strong green light in distance', 'position': 'upper center background and left side', 'orientation': 'fixed overhead and background lighting'}, {'id': 'obj_6', 'class': 'barrier/gate', 'description': 'Metal gate or barrier blocking the path at the far end', 'position': 'upper center of image across the walkway', 'orientation': 'perpendicular to walkway'}]</t>
  </si>
  <si>
    <t>[{'id': 'obj_1', 'class': 'sidewalk', 'description': 'Paved brick sidewalk extending from bottom foreground to top center of image', 'position': 'central area of scene', 'orientation': 'aligned roughly bottom-to-top of frame'}, {'id': 'obj_2', 'class': 'car', 'description': 'Dark-colored car parked along curb on the left side of the sidewalk near the upper part of the frame', 'position': 'upper-left edge next to roadway', 'orientation': 'parallel to curb/sidewalk'}, {'id': 'obj_3', 'class': 'bollard', 'description': 'Rectangular concrete/stone bollards forming a row along the right edge of the sidewalk', 'position': 'right side of sidewalk, mid-to-upper right of frame', 'orientation': 'aligned along sidewalk edge'}, {'id': 'obj_4', 'class': 'roadway', 'description': 'Portion of vehicular road visible to the left of the curb with lane marking/edge line', 'position': 'left side of frame', 'orientation': 'runs roughly bottom-left to top-left'}]</t>
  </si>
  <si>
    <t>[{'id': 'obj_1', 'class': 'sidewalk', 'description': 'Brick-paved sidewalk running from foreground to background along the right side of a street', 'position': 'occupies most of the frame center from bottom to top', 'orientation': 'aligned roughly along image vertical axis'}, {'id': 'obj_2', 'class': 'street_curb', 'description': 'Raised curb with red-and-white painted edge separating sidewalk from roadway', 'position': 'left edge of sidewalk, mid-left of frame', 'orientation': 'parallel to sidewalk'}, {'id': 'obj_3', 'class': 'car', 'description': 'Dark-colored parked car with visible yellow license plate facing toward camera', 'position': 'top-left of frame, partially visible on the roadway next to the curb', 'orientation': 'front of car facing downward toward the viewer'}, {'id': 'obj_4', 'class': 'building_wall', 'description': 'Light-colored wall or fence forming right boundary of sidewalk', 'position': 'right side of frame extending from mid-height upward', 'orientation': 'parallel to sidewalk'}, {'id': 'obj_5', 'class': 'pedestrian', 'description': 'Indistinct figure standing or walking further up the sidewalk', 'position': 'near top-center of frame on the sidewalk', 'orientation': 'appears oriented along direction of sidewalk'}, {'id': 'obj_6', 'class': 'stain_or_wet_patch', 'description': 'Irregular dark patches on brick paving that may indicate wet or stained areas', 'position': 'center-right area of sidewalk in mid to upper half of frame', 'orientation': 'n/a'}]</t>
  </si>
  <si>
    <t>[{'id': 'obj_1', 'class': 'sidewalk', 'description': 'Wide paved pedestrian sidewalk extending from foreground to background', 'position': 'center foreground to center background', 'orientation': 'aligned roughly along image vertical axis'}, {'id': 'obj_2', 'class': 'parked_cars', 'description': 'Row of parked cars along the curb adjacent to the sidewalk', 'position': 'right side, midground to background', 'orientation': 'parked parallel to sidewalk, facing away from camera'}, {'id': 'obj_3', 'class': 'trees', 'description': 'Street trees lining both sides of the sidewalk, creating canopy over walkway', 'position': 'left and right sides from foreground to background', 'orientation': 'vertical trunks with overhanging branches'}, {'id': 'obj_4', 'class': 'road', 'description': 'Traffic lane running parallel to sidewalk beyond parked cars', 'position': 'right side, midground to background', 'orientation': 'parallel to sidewalk'}, {'id': 'obj_5', 'class': 'fence', 'description': 'Metal fence separating sidewalk from area on the left', 'position': 'left side, foreground to midground', 'orientation': 'parallel to sidewalk'}, {'id': 'obj_6', 'class': 'fire_hydrant', 'description': 'Red fire hydrant near edge of sidewalk by fence', 'position': 'left side, lower-left quadrant', 'orientation': 'vertical'}, {'id': 'obj_7', 'class': 'street_lights_and_signals', 'description': 'Streetlights and traffic signals illuminating roadway', 'position': 'background center-right', 'orientation': 'vertical poles'}, {'id': 'obj_8', 'class': 'wet_surface', 'description': 'Glossy wet patches on sidewalk surface indicating recent rain or washing', 'position': 'center foreground and midground of sidewalk', 'orientation': 'horizontal surface'}]</t>
  </si>
  <si>
    <t>[{'id': 'obj_1', 'class': 'car', 'description': 'Silver sedan parked with its rear mostly on the sidewalk and front angled toward the road on the left side of the image.', 'position': 'left side of frame, occupying the sidewalk edge adjacent to the street', 'orientation': 'front facing away from camera toward the distant intersection'}, {'id': 'obj_2', 'class': 'sidewalk', 'description': 'Paved pedestrian walkway running from the bottom center toward the mid-right and background, bordered by a low stone wall and bushes on the right.', 'position': 'center to right side of image', 'orientation': 'extends longitudinally from foreground to background'}, {'id': 'obj_3', 'class': 'road', 'description': 'Vehicle roadway adjacent to the sidewalk on the left, visible further ahead near the intersection.', 'position': 'left and background of image', 'orientation': 'runs approximately from foreground left toward background center'}, {'id': 'obj_4', 'class': 'vegetation', 'description': 'Bushes and small trees along the right side of the sidewalk and larger trees in the background.', 'position': 'right edge and upper background', 'orientation': 'linear strip along sidewalk'}, {'id': 'obj_5', 'class': 'building', 'description': 'Multi-story urban building with many lit windows in the background beyond the road.', 'position': 'upper left and center background', 'orientation': 'faces toward the street'}, {'id': 'obj_6', 'class': 'streetlight', 'description': 'Illuminated streetlight casting light and shadows on the sidewalk and car.', 'position': 'upper left portion of frame', 'orientation': 'pole vertical, lamp overhanging road'}]</t>
  </si>
  <si>
    <t>[{'id': 'obj_1', 'class': 'pedestrian', 'description': 'Adult person in white top and dark pants walking along the sidewalk carrying a turquoise bag, back facing camera.', 'position': 'center foreground of the sidewalk, between parked cars on the left and a low stone wall on the right', 'orientation': 'walking forward away from the camera'}, {'id': 'obj_2', 'class': 'sidewalk', 'description': 'Paved pedestrian walkway running from bottom center to upper center of the image.', 'position': 'occupies most of the lower and central part of the scene', 'orientation': 'aligned roughly vertically through the frame'}, {'id': 'obj_3', 'class': 'car', 'description': 'Parked car along the curb adjacent to the sidewalk.', 'position': 'left midground of the image along the street side of the sidewalk', 'orientation': 'parked parallel to the curb'}, {'id': 'obj_4', 'class': 'stone_wall', 'description': 'Low stone retaining wall bordering vegetation next to the sidewalk.', 'position': 'right side of the image running from foreground to background', 'orientation': 'parallel to the sidewalk'}, {'id': 'obj_5', 'class': 'street_lighting', 'description': 'Ambient street and building lights illuminating the area at dusk or night.', 'position': 'background and upper part of the scene', 'orientation': 'fixed overhead/side lighting'}]</t>
  </si>
  <si>
    <t>[{'id': 'obj_1', 'class': 'pathway', 'description': 'Central paved path extending from foreground to background, likely for pedestrians or mixed use', 'position': 'center of image, running longitudinally', 'orientation': 'aligned roughly bottom to top of frame'}, {'id': 'obj_2', 'class': 'sidewalk', 'description': 'Brick-paved sidewalk area to the right of the main path', 'position': 'right side of scene, parallel to central path', 'orientation': 'aligned bottom-right to top-right'}, {'id': 'obj_3', 'class': 'street', 'description': 'Vehicle roadway with moving traffic beyond the trees on the left side', 'position': 'left mid to background behind vegetation', 'orientation': 'parallel to central path'}, {'id': 'obj_4', 'class': 'bus', 'description': 'Red bus with illuminated rear and text, moving or stopped on the distant street', 'position': 'center-left background', 'orientation': 'facing away from camera along the street'}, {'id': 'obj_5', 'class': 'car', 'description': 'Light-colored cars on the road behind vegetation', 'position': 'far left mid-background', 'orientation': 'aligned with street direction'}, {'id': 'obj_6', 'class': 'vegetation', 'description': 'Trees and shrubs lining both sides of the pathway', 'position': 'both sides of path, especially left foreground and right mid-ground', 'orientation': 'vertical growth along path'}, {'id': 'obj_7', 'class': 'lighting', 'description': 'Streetlights illuminating the path and sidewalk', 'position': 'top-right and along the path in the distance', 'orientation': 'vertical poles with overhead lamps'}, {'id': 'obj_8', 'class': 'bollards', 'description': 'Short cylindrical posts near the right sidewalk edge', 'position': 'right mid-ground near building wall', 'orientation': 'vertical'}, {'id': 'obj_9', 'class': 'building', 'description': 'Low-rise structure behind a greenish wall or fence on the right', 'position': 'right side mid-background', 'orientation': 'parallel to pathway'}]</t>
  </si>
  <si>
    <t>[{'id': 'obj_1', 'class': 'sidewalk', 'description': 'Wide brick-paved pedestrian walkway running centrally from foreground to background', 'position': 'center of image, extending from bottom edge to horizon', 'orientation': 'aligned roughly with camera view, leading away from viewer'}, {'id': 'obj_2', 'class': 'trees', 'description': 'Rows of mature trees lining both sides of the sidewalk', 'position': 'left and right sides of the walkway', 'orientation': 'vertical trunks with canopies arching over the path'}, {'id': 'obj_3', 'class': 'vegetation', 'description': 'Low shrubs and plants in planted strips bordering the sidewalk', 'position': 'left and right edges between sidewalk and soil beds', 'orientation': 'parallel to the path'}, {'id': 'obj_4', 'class': 'road', 'description': 'Vehicle roadway with traffic and lights visible beyond railing', 'position': 'left side background running parallel to sidewalk', 'orientation': 'same direction as sidewalk'}, {'id': 'obj_5', 'class': 'traffic_lights', 'description': 'Green traffic signals visible in distance', 'position': 'background center-left near roadway', 'orientation': 'facing traffic along the road'}, {'id': 'obj_6', 'class': 'lighting', 'description': 'Street and ambient lighting illuminating sidewalk and trees', 'position': 'overhead and to sides, not directly visible but inferred from illuminated areas', 'orientation': 'downward illumination'}, {'id': 'obj_7', 'class': 'railing_barrier', 'description': 'Metal railing separating sidewalk/vegetation from roadway', 'position': 'left side between plants and road', 'orientation': 'parallel to sidewalk'}]</t>
  </si>
  <si>
    <t>[{'id': 'obj_1', 'class': 'walkway', 'description': 'Central asphalt path extending from bottom foreground to top background of image', 'position': 'center of scene', 'orientation': 'longitudinal, running from bottom to top'}, {'id': 'obj_2', 'class': 'paved_side_area', 'description': 'Brick or tile paved strip to the right of the asphalt lane', 'position': 'right side of scene', 'orientation': 'parallel to asphalt path'}, {'id': 'obj_3', 'class': 'paved_side_area', 'description': 'Lighter-colored tiled or paved strip to the left of the asphalt lane', 'position': 'left side of scene', 'orientation': 'parallel to asphalt path'}, {'id': 'obj_4', 'class': 'surface_cracks', 'description': 'Multiple long irregular cracks along the asphalt surface', 'position': 'center, extending from bottom to upper-middle of scene', 'orientation': 'roughly vertical, branching laterally'}, {'id': 'obj_5', 'class': 'wet_or_stained_area', 'description': 'Darkened patch on the asphalt near the right edge indicating water or stain', 'position': 'right of center in the upper-middle of the scene', 'orientation': 'roughly circular/oval patch'}]</t>
  </si>
  <si>
    <t>[{'id': 'obj_1', 'class': 'sidewalk', 'description': 'Wide paved pedestrian sidewalk extending from foreground to background through center of image', 'position': 'central foreground to deep background', 'orientation': 'aligned roughly away from camera toward top center'}, {'id': 'obj_2', 'class': 'road', 'description': 'Multi-lane roadway running parallel to the sidewalk on the left side, with traffic and lane markings', 'position': 'left side, midground to background', 'orientation': 'parallel to sidewalk, receding into distance'}, {'id': 'obj_3', 'class': 'car', 'description': 'Row of cars in traffic on the road, red tail lights visible', 'position': 'left midground to background, on roadway', 'orientation': 'facing away from camera along road direction'}, {'id': 'obj_4', 'class': 'car', 'description': 'Dark car parked or stopped near curb at roadside closest to the camera', 'position': 'left midground near curb of road', 'orientation': 'aligned with road, facing away from camera'}, {'id': 'obj_5', 'class': 'streetlight', 'description': 'Tall streetlight pole on right edge of sidewalk', 'position': 'right midground', 'orientation': 'vertical'}, {'id': 'obj_6', 'class': 'streetlight', 'description': 'Series of streetlights along the road illuminating traffic', 'position': 'left midground to background above road', 'orientation': 'vertical'}, {'id': 'obj_7', 'class': 'vegetation', 'description': 'Large palm tree and low plants in planter strip between sidewalk and road with low railing', 'position': 'left foreground to midground', 'orientation': 'leaves arching over sidewalk'}, {'id': 'obj_8', 'class': 'vegetation', 'description': 'Shrubs and bushes forming hedge along right side of sidewalk', 'position': 'right foreground to background', 'orientation': 'parallel to sidewalk'}, {'id': 'obj_9', 'class': 'railing', 'description': 'Low metal handrail separating sidewalk from planted strip by the road', 'position': 'left foreground to midground along edge of sidewalk', 'orientation': 'parallel to sidewalk'}, {'id': 'obj_10', 'class': 'traffic_sign', 'description': 'Yield or triangular sign at pedestrian crossing where sidewalk meets side street', 'position': 'center-right background near crossing', 'orientation': 'facing toward roadway'}, {'id': 'obj_11', 'class': 'pedestrian_crossing', 'description': 'Marked crosswalk across a side street at the end of the sidewalk segment', 'position': 'center background', 'orientation': 'perpendicular to sidewalk'}, {'id': 'obj_12', 'class': 'building', 'description': 'Low-rise commercial and residential buildings along the road', 'position': 'left and right background', 'orientation': 'facing road and sidewalk'}, {'id': 'obj_13', 'class': 'tree', 'description': 'Pruned tree trunk with few branches near right edge of sidewalk', 'position': 'right midground', 'orientation': 'vertical'}]</t>
  </si>
  <si>
    <t>[{'id': 'obj_1', 'class': 'sidewalk', 'description': 'Paved pedestrian sidewalk running from bottom foreground toward upper center of image', 'position': 'extends along lower half of image from bottom edge toward center', 'orientation': 'aligned roughly bottom-to-top of image'}, {'id': 'obj_2', 'class': 'bush', 'description': 'Dense green shrub protruding into the sidewalk space next to a low stone wall', 'position': 'center-right of image encroaching from right edge into the sidewalk', 'orientation': 'fixed vegetation'}, {'id': 'obj_3', 'class': 'wall', 'description': 'Low stone retaining wall bordering a slightly elevated grassy area', 'position': 'right side of image running from lower-right corner toward center-right', 'orientation': 'parallel to sidewalk'}, {'id': 'obj_4', 'class': 'car', 'description': 'White car parked along the curb adjacent to the sidewalk', 'position': 'left-center of image, nose pointing toward right', 'orientation': 'parallel or diagonal to street'}, {'id': 'obj_5', 'class': 'car', 'description': 'White car parked further in the background near building', 'position': 'upper-right quadrant', 'orientation': 'facing left'}, {'id': 'obj_6', 'class': 'traffic_sign', 'description': 'Blue directional sign with upward arrow', 'position': 'upper-center of image above bush', 'orientation': 'facing toward camera'}, {'id': 'obj_7', 'class': 'parking_sign', 'description': 'Blue parking sign with white P symbol', 'position': 'upper-right of image behind bush and above wall', 'orientation': 'facing toward camera'}, {'id': 'obj_8', 'class': 'building', 'description': 'Multi-story residential building with balconies and lit windows', 'position': 'background across entire upper portion of image', 'orientation': 'façade facing street and sidewalk'}, {'id': 'obj_9', 'class': 'hydrant', 'description': 'Red fire hydrant on raised area beyond the wall', 'position': 'right-center near top of wall', 'orientation': 'upright'}, {'id': 'obj_10', 'class': 'street_lighting', 'description': 'Ambient street lighting illuminating the area (poles not clearly seen but implied by lighting)', 'position': 'off-frame, illuminating whole scene', 'orientation': 'overhead'}]</t>
  </si>
  <si>
    <t>[{'id': 'obj_1', 'class': 'sidewalk_path', 'description': 'Asphalt path running away from the camera along the right side of a roadway, possibly used by pedestrians or cyclists', 'position': 'center of image, extending from foreground to background', 'orientation': 'longitudinal, aligned with road direction'}, {'id': 'obj_2', 'class': 'raised_asphalt_ridge', 'description': 'Transverse raised seam or step in the asphalt crossing the full width of the path', 'position': 'lower third of image, spanning from left edge to right edge of the path', 'orientation': 'perpendicular to the direction of travel along the path'}, {'id': 'obj_3', 'class': 'surface_cracks', 'description': 'Longitudinal cracks running along the asphalt path', 'position': 'center of the path from bottom center toward mid-depth of the image', 'orientation': 'roughly aligned with the length of the path'}, {'id': 'obj_4', 'class': 'roadway', 'description': 'Multi-lane road with moving vehicle and landscaped median/edge', 'position': 'left side and upper left of the image, parallel to the path', 'orientation': 'same direction as path'}, {'id': 'obj_5', 'class': 'vegetation', 'description': 'Shrubs and planted strip between the road and the path', 'position': 'left side of the path, mid to upper part of the image', 'orientation': 'linear strip along road'}, {'id': 'obj_6', 'class': 'brick_paved_side_strip', 'description': 'Narrow brick-paved strip running along the right side of the asphalt path', 'position': 'right side of image, parallel to asphalt path', 'orientation': 'longitudinal'}, {'id': 'obj_7', 'class': 'street_lighting', 'description': 'Illumination from off-frame street lights casting light and shadows', 'position': 'overall scene', 'orientation': 'overhead lighting'}]</t>
  </si>
  <si>
    <t>[{'id': 'obj_1', 'class': 'sidewalk', 'description': 'Paved brick sidewalk running from foreground to background along right side of street', 'position': 'center foreground extending to center background', 'orientation': 'aligned parallel to street'}, {'id': 'obj_2', 'class': 'tree', 'description': 'Row of street trees planted between sidewalk and parked cars', 'position': 'left side of sidewalk from foreground to mid-scene', 'orientation': 'vertical trunks with foliage overhead'}, {'id': 'obj_3', 'class': 'car', 'description': 'Line of parked cars along curbside of the street', 'position': 'left side midground along roadway edge', 'orientation': 'parked parallel to curb facing away from camera'}, {'id': 'obj_4', 'class': 'road', 'description': 'Multi-lane road with moving traffic and headlights visible', 'position': 'far left of image, parallel to sidewalk', 'orientation': 'running from bottom-left to upper-left background'}, {'id': 'obj_5', 'class': 'building_wall', 'description': 'Long masonry wall with vegetation and lattice fencing on top bordering sidewalk', 'position': 'right side from foreground to background', 'orientation': 'parallel to sidewalk'}, {'id': 'obj_6', 'class': 'pedestrian', 'description': 'Distant pedestrian(s) walking along the sidewalk', 'position': 'center background of sidewalk area', 'orientation': 'moving away from camera'}, {'id': 'obj_7', 'class': 'street_light', 'description': 'Street lighting illuminating road and sidewalk', 'position': 'left and upper portions of scene', 'orientation': 'vertical poles with lights overhead'}, {'id': 'obj_8', 'class': 'fire_hydrant', 'description': 'Red hydrant on sidewalk near wall', 'position': 'right side midground adjacent to wall', 'orientation': 'vertical'}]</t>
  </si>
  <si>
    <t>[{'id': 'obj_1', 'class': 'pavement', 'description': 'Asphalt surface occupying most of the frame with multiple long cracks', 'position': 'central and left area of the image', 'orientation': 'horizontal plane underfoot'}, {'id': 'obj_2', 'class': 'sidewalk_edge', 'description': 'Brick or tile edge separating asphalt from a paved walkway', 'position': 'right side of the image', 'orientation': 'runs roughly top-right to bottom-right'}]</t>
  </si>
  <si>
    <t>[{'id': 'obj_1', 'class': 'sidewalk', 'description': 'Wide paved pedestrian sidewalk in the foreground extending toward an intersection', 'position': 'dominant lower and central part of image', 'orientation': 'extends from bottom center toward upper center'}, {'id': 'obj_2', 'class': 'road', 'description': 'Multi-lane roadway with vehicles and an intersection at the upper left and center', 'position': 'left and upper parts of image, adjacent to sidewalk', 'orientation': 'runs roughly from bottom left toward upper left'}, {'id': 'obj_3', 'class': 'car', 'description': 'Dark car near the intersection, waiting or moving slowly with other traffic', 'position': 'upper left, near the curb by the intersection', 'orientation': 'facing away from camera along the road'}, {'id': 'obj_4', 'class': 'vehicles', 'description': 'Multiple additional cars visible further along the road with red tail lights', 'position': 'far upper left background along the road', 'orientation': 'aligned with road direction, moving away from the camera'}, {'id': 'obj_5', 'class': 'traffic_sign', 'description': 'Yield sign at the corner where the sidewalk meets the crosswalk', 'position': 'upper center-right near intersection', 'orientation': 'facing approaching road traffic'}, {'id': 'obj_6', 'class': 'crosswalk', 'description': 'Painted white zebra crosswalk across the road at the intersection', 'position': 'upper center of image adjoining the end of the sidewalk', 'orientation': 'perpendicular to the road direction'}, {'id': 'obj_7', 'class': 'guardrail', 'description': 'Low metal railing separating the sidewalk from vegetation on the left', 'position': 'left side of sidewalk in lower and middle left', 'orientation': 'runs parallel to sidewalk'}, {'id': 'obj_8', 'class': 'vegetation', 'description': 'Bushes and low plants bordering the sidewalk on both sides', 'position': 'left and right edges of the sidewalk', 'orientation': 'linear along path'}, {'id': 'obj_9', 'class': 'street_light', 'description': 'Tall streetlights illuminating road and sidewalk', 'position': 'left side and right upper side of image', 'orientation': 'upright'}, {'id': 'obj_10', 'class': 'wet_surface', 'description': 'Localized wet or reflective patch on the sidewalk surface', 'position': 'right side of sidewalk in the lower-middle part of image', 'orientation': 'irregular patch on pavement'}]</t>
  </si>
  <si>
    <t>[{'id': 'obj_1', 'class': 'sidewalk', 'description': 'Brick-paved sidewalk occupying most of the frame, extending away from the camera.', 'position': 'center foreground to center background', 'orientation': 'aligned roughly parallel to the road'}, {'id': 'obj_2', 'class': 'roadway', 'description': 'Asphalt road running along the left side of the frame with white pavement markings.', 'position': 'left side of image', 'orientation': 'parallel to the sidewalk'}, {'id': 'obj_3', 'class': 'car', 'description': 'Dark car parked along the curb at the upper left.', 'position': 'upper left', 'orientation': 'facing away from the camera along the road'}, {'id': 'obj_4', 'class': 'bollard', 'description': 'Short, light-colored bollard or post at the edge of the sidewalk near the roadway in the upper right.', 'position': 'upper right edge near curb', 'orientation': 'vertical'}, {'id': 'obj_5', 'class': 'sidewalk_damage', 'description': 'Area of broken or sunken sidewalk bricks near the curb line.', 'position': 'right side of the sidewalk, mid-right of the image', 'orientation': 'irregular patch'}]</t>
  </si>
  <si>
    <t>[{'id': 'obj_1', 'class': 'sidewalk', 'description': 'Main asphalt pedestrian path running from foreground to background in the center of the image.', 'position': 'central area of the scene, parallel to the road', 'orientation': 'extends from bottom center toward top center'}, {'id': 'obj_2', 'class': 'raised_pavement_edge', 'description': 'Transverse raised strip of asphalt creating a noticeable step across the width of the sidewalk.', 'position': 'across the sidewalk roughly one-third from the bottom of the image', 'orientation': 'perpendicular to the walking direction, forming a step'}, {'id': 'obj_3', 'class': 'road', 'description': 'Vehicle roadway with lane markings and moving cars on the left side of the image.', 'position': 'left side of the scene, parallel to the sidewalk', 'orientation': 'extends from bottom left toward top left'}, {'id': 'obj_4', 'class': 'vehicle', 'description': 'Car traveling along the road, slightly blurred due to motion.', 'position': 'left mid-distance of the scene on the roadway', 'orientation': 'moving roughly from top to bottom or bottom to top along the road'}, {'id': 'obj_5', 'class': 'vegetation', 'description': 'Bushes and planted strip between the sidewalk and the road.', 'position': 'left side between the sidewalk and road', 'orientation': 'linear strip along the curb'}, {'id': 'obj_6', 'class': 'paved_pedestrian_strip', 'description': 'Brick or tile pedestrian strip running parallel to the main asphalt sidewalk on the right.', 'position': 'right side of the sidewalk', 'orientation': 'parallel to walking direction'}, {'id': 'obj_7', 'class': 'street_lighting_environment', 'description': 'Nighttime illumination likely from streetlights, casting light and shadows on the path.', 'position': 'overall scene', 'orientation': 'n/a'}]</t>
  </si>
  <si>
    <t>[{'id': 'obj_1', 'class': 'pathway', 'description': 'Central paved path extending from foreground to background, mostly asphalt with adjacent brick strip on right side', 'position': 'center of image, longitudinally from bottom edge to mid-background', 'orientation': 'aligned roughly vertically from bottom to top of image'}, {'id': 'obj_2', 'class': 'sidewalk', 'description': 'Tile-paved pedestrian sidewalk on the left side separated by vegetation', 'position': 'left side of image, running parallel to main path', 'orientation': 'vertical from bottom-left to background-left'}, {'id': 'obj_3', 'class': 'vegetation', 'description': 'Trees and bushes lining both sides of the path', 'position': 'left and right edges of scene, extending into background', 'orientation': 'upright, vertical trunks and foliage'}, {'id': 'obj_4', 'class': 'street_light', 'description': 'Street lights illuminating the right side of the path', 'position': 'upper-right area of image', 'orientation': 'vertical poles with lights facing downward'}, {'id': 'obj_5', 'class': 'bus', 'description': 'Red bus with illuminated signage, partially visible in the distance among other traffic', 'position': 'background center-left of image', 'orientation': 'oriented away from camera along distant roadway'}, {'id': 'obj_6', 'class': 'bollard', 'description': 'Three short cylindrical bollards near the right edge, likely blocking vehicle entry to the path', 'position': 'mid-right of image, near junction of path and side area', 'orientation': 'vertical cylinders'}, {'id': 'obj_7', 'class': 'building', 'description': 'Low-rise building behind a fence on the right side', 'position': 'right side mid-background', 'orientation': 'parallel to path'}]</t>
  </si>
  <si>
    <t>[{'id': 'obj_1', 'class': 'sidewalk', 'description': 'Wide brick-paved sidewalk extending from foreground to background', 'position': 'occupies most of the lower and central part of the image', 'orientation': 'aligned along the street, receding into the distance'}, {'id': 'obj_2', 'class': 'pedestrians', 'description': 'Two people walking away from the camera along the sidewalk', 'position': 'center-right mid-background of the image', 'orientation': 'backs facing camera, moving away along the sidewalk'}, {'id': 'obj_3', 'class': 'car', 'description': 'White car parked at the curb parallel to the sidewalk', 'position': 'left foreground of the image', 'orientation': 'parallel to the street, facing away from the camera'}, {'id': 'obj_4', 'class': 'cars', 'description': 'Multiple vehicles parked along the street and some moving in traffic', 'position': 'left side from foreground to background', 'orientation': 'aligned with direction of the road'}, {'id': 'obj_5', 'class': 'street_light', 'description': 'Tall streetlight illuminating roadway and sidewalk', 'position': 'upper left of the image', 'orientation': 'vertical pole with lamp overhead'}, {'id': 'obj_6', 'class': 'tree', 'description': 'Street tree growing from curb area adjacent to sidewalk', 'position': 'left-center of the image between parked cars and sidewalk', 'orientation': 'vertical trunk with canopy extending over sidewalk and street'}, {'id': 'obj_7', 'class': 'building', 'description': 'Tall boundary wall and building facade on right side of sidewalk', 'position': 'right side from foreground to background', 'orientation': 'parallel to sidewalk'}, {'id': 'obj_8', 'class': 'traffic_lights', 'description': 'Illuminated traffic lights visible in the distance', 'position': 'center background of the image', 'orientation': 'facing roadway'}]</t>
  </si>
  <si>
    <t>[{'id': 'obj_1', 'class': 'sidewalk', 'description': 'Wide paved brick sidewalk extending from foreground to background through center of image', 'position': 'center foreground to center background', 'orientation': 'aligned parallel to road'}, {'id': 'obj_2', 'class': 'road', 'description': 'Two-lane road running along the left side of the sidewalk', 'position': 'left side of image from foreground to background', 'orientation': 'parallel to sidewalk'}, {'id': 'obj_3', 'class': 'tree', 'description': 'Large tree trunk growing directly from the sidewalk near mid-distance', 'position': 'left of sidewalk center, mid-depth of image', 'orientation': 'vertical trunk with canopy overhanging sidewalk'}, {'id': 'obj_4', 'class': 'bus_stop_shelter', 'description': 'Small bus stop structure on the sidewalk with a roof and panel', 'position': 'center-right of sidewalk in mid-background', 'orientation': 'front facing toward camera'}, {'id': 'obj_5', 'class': 'streetlight', 'description': 'Tall lit streetlight pole illuminating road and sidewalk', 'position': 'left upper quadrant near road edge', 'orientation': 'vertical pole'}, {'id': 'obj_6', 'class': 'vegetation', 'description': 'Shrubs and planted strip along right side of sidewalk', 'position': 'right edge of image from foreground to background', 'orientation': 'linear strip'}, {'id': 'obj_7', 'class': 'traffic_lane_marking', 'description': 'Yellow curb paint and road edge marking beside sidewalk', 'position': 'bottom-left running along road edge', 'orientation': 'parallel to sidewalk'}]</t>
  </si>
  <si>
    <t>[{'id': 'obj_1', 'class': 'vegetation_debris', 'description': 'Large pile of cut branches and leaves lying along the curb, extending into the road', 'position': 'foreground and midground, adjacent to curb on right side of traffic lane', 'orientation': 'elongated roughly parallel to curb'}, {'id': 'obj_2', 'class': 'car', 'description': 'White SUV parked on street side near left of image', 'position': 'left side of roadway by curb, midground', 'orientation': 'parallel to curb, facing away from camera'}, {'id': 'obj_3', 'class': 'car', 'description': 'White sedan parked on right side of street near center-right', 'position': 'right side of roadway by curb, midground', 'orientation': 'parallel to curb, facing rightward relative to camera'}, {'id': 'obj_4', 'class': 'car', 'description': 'Another white car partially visible behind obj_3', 'position': 'right side of roadway by curb, background', 'orientation': 'parallel to curb'}, {'id': 'obj_5', 'class': 'sidewalk', 'description': 'Brick-and-concrete sidewalk running along right side of image', 'position': 'bottom and right edge of scene', 'orientation': 'parallel to roadway'}, {'id': 'obj_6', 'class': 'tree', 'description': 'Street trees planted in line between sidewalk and road', 'position': 'midground along curb line', 'orientation': 'vertical trunks'}, {'id': 'obj_7', 'class': 'building', 'description': 'Multi-story residential buildings with balconies and windows', 'position': 'background across the street', 'orientation': 'faces toward the street'}]</t>
  </si>
  <si>
    <t>[{'id': 'obj_1', 'class': 'sidewalk', 'description': 'Brick-paved pedestrian walkway covering most of the frame', 'position': 'extends from foreground bottom center toward upper center of image', 'orientation': 'aligned roughly bottom-to-top of image'}, {'id': 'obj_2', 'class': 'puddle', 'description': 'Large standing water puddle on the sidewalk reflecting a pole and surroundings', 'position': 'upper center of the sidewalk area', 'orientation': 'horizontal footprint spanning across path'}, {'id': 'obj_3', 'class': 'vehicle', 'description': 'Dark-colored car parked to the right side beyond the puddle', 'position': 'upper right edge of image, partly visible', 'orientation': 'parked parallel to walkway'}, {'id': 'obj_4', 'class': 'pole', 'description': 'Vertical pole with yellow and black markings near parked car', 'position': 'upper right quadrant near boundary between walkway and road/parking area', 'orientation': 'vertical'}, {'id': 'obj_5', 'class': 'boundary_wall_or_fence', 'description': 'Low wall or fence with vegetation along left side of walkway', 'position': 'left edge of image running from lower left to upper left', 'orientation': 'parallel to sidewalk'}]</t>
  </si>
  <si>
    <t>[{'id': 'obj_1', 'class': 'sidewalk', 'description': 'Paved pedestrian sidewalk extending from foreground to background', 'position': 'occupies most of lower and central part of image', 'orientation': 'leading away from camera toward top center'}, {'id': 'obj_2', 'class': 'car', 'description': 'White car parked along right edge of sidewalk', 'position': 'right side, mid to foreground', 'orientation': 'parked parallel to sidewalk, facing away from camera'}, {'id': 'obj_3', 'class': 'car', 'description': 'White car further ahead near background, likely parked at curb', 'position': 'upper center of image', 'orientation': 'aligned roughly with roadway'}, {'id': 'obj_4', 'class': 'debris', 'description': 'Pile of large discarded items (possibly furniture or panels) lying across sidewalk', 'position': 'center of image, mid-distance on sidewalk', 'orientation': 'sprawled diagonally across pedestrian path'}, {'id': 'obj_5', 'class': 'vegetation_wall', 'description': 'Dense hedge or vegetation wall lining the left edge of sidewalk', 'position': 'left side of image from foreground to background', 'orientation': 'parallel to sidewalk'}]</t>
  </si>
  <si>
    <t>[{'id': 'obj_1', 'class': 'sidewalk', 'description': 'Paved brick pedestrian sidewalk running from foreground to background along the left side of the image', 'position': 'occupies most of the bottom and left side of the frame', 'orientation': 'aligned roughly front-to-back in the image'}, {'id': 'obj_2', 'class': 'cardboard_box', 'description': 'Large upright cardboard box with printed text, placed on sidewalk containing long cardboard pieces sticking out', 'position': 'lower center of the image, adjacent to low stone wall on the right edge of the sidewalk', 'orientation': 'box standing upright, long pieces leaning diagonally toward the mirror pole'}, {'id': 'obj_3', 'class': 'building', 'description': 'Residential building with pillars and overhang, bordering the sidewalk', 'position': 'right side and mid-right background of the image', 'orientation': 'façade parallel to sidewalk'}, {'id': 'obj_4', 'class': 'low_wall', 'description': 'Short stone boundary wall separating sidewalk from building yard/grass', 'position': 'right side, running from foreground to mid-background', 'orientation': 'parallel to sidewalk'}, {'id': 'obj_5', 'class': 'traffic_mirror', 'description': 'Round convex traffic mirror mounted on a vertical pole near corner of low wall', 'position': 'upper central area above the box', 'orientation': 'facing toward the street on the left'}, {'id': 'obj_6', 'class': 'cars', 'description': 'Parked cars along the street beyond the sidewalk', 'position': 'mid-background, left and center of image', 'orientation': 'aligned along the roadway'}, {'id': 'obj_7', 'class': 'street_signs', 'description': 'Blue road signs indicating driving directions', 'position': 'left background near parked cars', 'orientation': 'facing oncoming traffic'}, {'id': 'obj_8', 'class': 'vegetation', 'description': 'Grass and small bushes in the yard next to the building', 'position': 'right mid-ground behind the low wall', 'orientation': 'n/a'}]</t>
  </si>
  <si>
    <t>[{'id': 'obj_1', 'class': 'crosswalk', 'description': 'Painted white zebra crosswalk across the near side of the intersection', 'position': 'foreground spanning left to right', 'orientation': 'perpendicular to the viewer’s line of sight'}, {'id': 'obj_2', 'class': 'car', 'description': 'Dark car parked along curb on cross street', 'position': 'left-middle background, facing away from camera along far street', 'orientation': 'parallel to curb'}, {'id': 'obj_3', 'class': 'cars_group', 'description': 'Several parked cars along right side of cross street', 'position': 'center to right background', 'orientation': 'parallel to street'}, {'id': 'obj_4', 'class': 'streetlight_pole', 'description': 'Tall metal streetlight pole near corner sidewalk edge', 'position': 'right-middle of image at intersection corner', 'orientation': 'vertical'}, {'id': 'obj_5', 'class': 'parking_sign', 'description': 'Blue parking sign mounted on pole near intersection', 'position': 'center-right above sidewalk near tree', 'orientation': 'facing toward street'}, {'id': 'obj_6', 'class': 'building', 'description': 'Residential/urban buildings lining streets', 'position': 'left and right background', 'orientation': 'front facades facing street'}, {'id': 'obj_7', 'class': 'cloth_debris', 'description': 'Crumpled multicolored cloth or blanket lying directly on road surface near crosswalk', 'position': 'lower-center of roadway, just beyond nearest crosswalk stripe', 'orientation': 'flat on the pavement'}, {'id': 'obj_8', 'class': 'small_debris', 'description': 'Small metallic or plastic object (possibly comb or grate) on road near cloth', 'position': 'slightly right of cloth in lower-center roadway', 'orientation': 'flat on the pavement'}, {'id': 'obj_9', 'class': 'curb', 'description': 'Raised curb with red and white paint at intersection corner', 'position': 'bottom-left and right edges of image', 'orientation': 'along street edge'}]</t>
  </si>
  <si>
    <t>[{'id': 'obj_1', 'class': 'sidewalk', 'description': 'Paved brick sidewalk running from foreground to background along the right side of a street', 'position': 'occupies most of the lower and central part of the image', 'orientation': 'aligned roughly bottom-to-top of the frame'}, {'id': 'obj_2', 'class': 'cardboard_box', 'description': 'Large upright cardboard box placed on the sidewalk adjacent to a hedge and low wall', 'position': 'right-center of the image, close to the camera', 'orientation': 'standing vertically, flat face toward camera'}, {'id': 'obj_3', 'class': 'cardboard_box', 'description': 'Even larger flattened cardboard box leaning against hedge/wall behind the first box', 'position': 'right-center background, slightly behind obj_2', 'orientation': 'leaning diagonally against the hedge/wall'}, {'id': 'obj_4', 'class': 'hedge', 'description': 'Dense green hedge bordering the sidewalk with a low stone or brick wall at its base', 'position': 'right edge of the image', 'orientation': 'runs along the sidewalk'}, {'id': 'obj_5', 'class': 'car', 'description': 'White car parked or moving slowly on the street adjacent to the sidewalk', 'position': 'upper-center of the image, beyond curb', 'orientation': 'side view, facing to the left of the frame'}, {'id': 'obj_6', 'class': 'car', 'description': 'Partially visible white car further back on the street', 'position': 'upper-left background', 'orientation': 'side view'}, {'id': 'obj_7', 'class': 'street_pole', 'description': 'Vertical pole with black and white bands next to the curb', 'position': 'left-center near the curb line', 'orientation': 'vertical'}, {'id': 'obj_8', 'class': 'manhole_cover', 'description': 'Round manhole or utility cover embedded in the sidewalk surface', 'position': 'left-center foreground', 'orientation': 'horizontal on pavement'}, {'id': 'obj_9', 'class': 'curb', 'description': 'Raised curb with red-and-white painted edge separating sidewalk from road', 'position': 'upper-left to upper-center boundary between sidewalk and street', 'orientation': 'horizontal across frame'}]</t>
  </si>
  <si>
    <t>[{'id': 'obj_1', 'class': 'sidewalk', 'description': 'Paved pedestrian walkway running from foreground to background', 'position': 'center of scene extending from bottom toward top', 'orientation': 'longitudinal along image depth'}, {'id': 'obj_2', 'class': 'car', 'description': 'White SUV or crossover parked on right side partly over sidewalk', 'position': 'right side, front portion in mid-foreground', 'orientation': 'parked roughly parallel to sidewalk'}, {'id': 'obj_3', 'class': 'car', 'description': 'White car parked ahead near middle-right background', 'position': 'mid-to-background, right side', 'orientation': 'parked parallel to road'}, {'id': 'obj_4', 'class': 'car', 'description': 'Light-colored van or car in roadway further back', 'position': 'background center-right', 'orientation': 'aligned with road'}, {'id': 'obj_5', 'class': 'vegetation', 'description': 'Tall hedge or bushes forming boundary along left side of sidewalk', 'position': 'left side of image from foreground to background', 'orientation': 'parallel to sidewalk'}, {'id': 'obj_6', 'class': 'debris', 'description': 'Large pieces of furniture or bulky waste (mattress-like objects, panels) with scattered fragments obstructing sidewalk', 'position': 'center-left of mid-ground, spanning from near hedge toward parked SUV', 'orientation': 'piled irregularly across path'}]</t>
  </si>
  <si>
    <t>[{'id': 'obj_1', 'class': 'sidewalk', 'description': 'Brick-paved sidewalk running from foreground bottom-right to mid-right of the image', 'position': 'right side of scene, adjacent to roadway', 'orientation': 'parallel to street'}, {'id': 'obj_2', 'class': 'road', 'description': 'Two-lane urban road with crosswalk markings', 'position': 'left and upper parts of the image beside the sidewalk', 'orientation': 'runs horizontally across the scene'}, {'id': 'obj_3', 'class': 'car', 'description': 'Blue car on the road near the crosswalk, facing away from camera', 'position': 'upper-center of image on roadway', 'orientation': 'oriented roughly left-to-right, moving or stopped'}, {'id': 'obj_4', 'class': 'car', 'description': 'Yellow car parked on the opposite side of the street near the crosswalk', 'position': 'upper-left of center on far side of street', 'orientation': 'parked parallel to curb'}, {'id': 'obj_5', 'class': 'car', 'description': 'Dark small car parked farther down the opposite side of the street', 'position': 'upper-left of scene on far side of street', 'orientation': 'parked parallel to curb'}, {'id': 'obj_6', 'class': 'traffic_sign', 'description': 'Vertical pole with circular sign showing a prohibition symbol', 'position': 'right side near curb, mid-height of image', 'orientation': 'upright'}, {'id': 'obj_7', 'class': 'vegetation_debris', 'description': 'Pile of cut branches, leaves, and plant material on the sidewalk near the curb', 'position': 'lower-left to mid-left of the sidewalk along the edge', 'orientation': 'sprawled along curb line'}, {'id': 'obj_8', 'class': 'trash_container', 'description': 'Small plastic trash bin lying on its side among the vegetation debris', 'position': 'left-center of image near curb on sidewalk', 'orientation': 'overturned, opening facing sideways'}]</t>
  </si>
  <si>
    <t>[{'id': 'obj_1', 'class': 'pedestrian_path', 'description': 'Main paved pathway extending from foreground to background, slightly left of center', 'position': 'center foreground to mid-scene', 'orientation': 'aligned away from camera toward background'}, {'id': 'obj_2', 'class': 'sidewalk', 'description': 'Brick-paved strip along the right side of the main path, separated by a brick edge', 'position': 'right side from foreground to background', 'orientation': 'parallel to main path'}, {'id': 'obj_3', 'class': 'tree', 'description': 'Medium tree with trunk rising from soil island on left side of path', 'position': 'left mid-foreground', 'orientation': 'vertical'}, {'id': 'obj_4', 'class': 'ornamental_plant', 'description': 'Low palm-like plant in mulched bed to left of path', 'position': 'left mid-foreground', 'orientation': 'radial leaves'}, {'id': 'obj_5', 'class': 'vegetation', 'description': 'Dense low bushes or grasses along right edge of path', 'position': 'right midground', 'orientation': 'linear strip along curb'}, {'id': 'obj_6', 'class': 'barrier', 'description': 'Metal or structural barriers blocking further passage at end of path', 'position': 'background center', 'orientation': 'perpendicular to path'}, {'id': 'obj_7', 'class': 'traffic_sign', 'description': 'Round blue sign on pole, likely indicating traffic direction or roundabout', 'position': 'left background near white structure', 'orientation': 'facing toward camera'}, {'id': 'obj_8', 'class': 'streetlight', 'description': 'Tall lit streetlight illuminating path and vegetation', 'position': 'right background', 'orientation': 'vertical pole with lamp at top'}, {'id': 'obj_9', 'class': 'debris', 'description': 'Scattered dry leaves and small debris pieces on surface of path', 'position': 'distributed across foreground and mid-path', 'orientation': 'lying flat on ground'}]</t>
  </si>
  <si>
    <t>[{'id': 'obj_1', 'class': 'sidewalk', 'description': 'Brick-paved sidewalk running from bottom center toward mid-right of the image along a low wall with vegetation on top.', 'position': 'foreground and right side of scene', 'orientation': 'extends from camera position forward toward the intersection'}, {'id': 'obj_2', 'class': 'roadway', 'description': 'Paved road to the left of the sidewalk, leading toward a lit intersection in the upper part of the image.', 'position': 'left and upper portion of scene', 'orientation': 'extends from bottom left toward upper center'}, {'id': 'obj_3', 'class': 'car', 'description': 'White hatchback car on the road near the intersection with its rear facing the camera and brake lights illuminated.', 'position': 'upper center of scene, adjacent to curb', 'orientation': 'facing away from the camera toward the intersection'}, {'id': 'obj_4', 'class': 'car', 'description': 'White car further ahead at the intersection partially visible facing left.', 'position': 'upper center-right background', 'orientation': 'oriented approximately perpendicular to camera view, facing left'}, {'id': 'obj_5', 'class': 'van', 'description': 'White van parked or stopped on the far side of the intersection.', 'position': 'upper left background', 'orientation': 'oriented roughly perpendicular to camera view'}, {'id': 'obj_6', 'class': 'drainage_grate', 'description': 'Rectangular street drain at the edge of the roadway near the curb.', 'position': 'left of center in the lower third of the image at curb line', 'orientation': 'aligned with curb'}, {'id': 'obj_7', 'class': 'retaining_wall', 'description': 'Low stone wall bordering the right side of the sidewalk with vegetation above it.', 'position': 'right side of image running from mid-right foreground toward top-right', 'orientation': 'parallel to sidewalk'}]</t>
  </si>
  <si>
    <t>[{'id': 'obj_1', 'class': 'sidewalk', 'description': 'Paved pedestrian sidewalk running from foreground to background along a hedge and parked cars', 'position': 'extends through center of image from bottom to upper middle', 'orientation': 'aligned roughly vertically in the image'}, {'id': 'obj_2', 'class': 'car', 'description': 'White SUV or crossover parked on the sidewalk, occupying much of the right side walking space', 'position': 'right side of image, middle to upper section', 'orientation': 'parked parallel to sidewalk, facing away from camera'}, {'id': 'obj_3', 'class': 'debris', 'description': 'Large household items and trash (mattress or cushions, panels, bags) piled across the sidewalk in front of the parked car', 'position': 'center of image, slightly above midpoint', 'orientation': 'spread laterally across walking path'}, {'id': 'obj_4', 'class': 'car', 'description': 'Several additional cars parked along the street beyond the obstructed area', 'position': 'upper center and upper right background', 'orientation': 'parallel to roadway'}, {'id': 'obj_5', 'class': 'vegetation', 'description': 'Dense hedge or bushes forming a wall along the left edge of the sidewalk', 'position': 'left side of image from bottom to top', 'orientation': 'vertical along sidewalk'}, {'id': 'obj_6', 'class': 'road', 'description': 'Roadway adjacent to the sidewalk where other vehicles are parked and moving', 'position': 'right background beyond sidewalk and parked cars', 'orientation': 'parallel to sidewalk'}]</t>
  </si>
  <si>
    <t>[{'id': 'obj_1', 'class': 'sidewalk', 'description': 'Brick-paved pedestrian walkway occupying most of the frame', 'position': 'extends from foreground bottom to top center of image', 'orientation': 'aligned roughly vertically with camera view'}, {'id': 'obj_2', 'class': 'water_puddle', 'description': 'Standing water forming a puddle on the sidewalk surface', 'position': 'upper-center of the sidewalk, in main walking path', 'orientation': 'horizontal patch reflecting nearby objects'}, {'id': 'obj_3', 'class': 'vehicle', 'description': 'Parked car partly visible at top-right, nose pointing toward the viewer', 'position': 'top-right edge of frame, adjacent to sidewalk', 'orientation': 'oriented approximately toward camera'}, {'id': 'obj_4', 'class': 'post', 'description': 'Vertical post or bollard with light/dark bands', 'position': 'top-center-right, at edge of sidewalk near parked car', 'orientation': 'upright vertical'}]</t>
  </si>
  <si>
    <t>[{'id': 'obj_1', 'class': 'sidewalk', 'description': 'Paved brick sidewalk extending from foreground to background along right side of the street', 'position': 'occupies most of the right half and center foreground of the scene', 'orientation': 'runs roughly bottom-center toward upper-center'}, {'id': 'obj_2', 'class': 'road', 'description': 'Multi-lane roadway with moving traffic adjacent to the sidewalk', 'position': 'left side of image, parallel to sidewalk', 'orientation': 'runs bottom-left toward upper-left'}, {'id': 'obj_3', 'class': 'car', 'description': 'Parked car closest to camera along curb next to sidewalk', 'position': 'left-middle edge, partially visible', 'orientation': 'aligned with road direction'}, {'id': 'obj_4', 'class': 'cars', 'description': 'Multiple moving cars with headlights and taillights on roadway', 'position': 'mid-left to upper-left', 'orientation': 'traveling along the road parallel to the sidewalk'}, {'id': 'obj_5', 'class': 'tree', 'description': 'Tree trunk emerging from small cutout in sidewalk near foreground', 'position': 'left-center of sidewalk, adjacent to curb', 'orientation': 'vertical trunk'}, {'id': 'obj_6', 'class': 'trees', 'description': 'Row of additional trees lining the sidewalk further down', 'position': 'left side of sidewalk extending into background', 'orientation': 'vertical'}, {'id': 'obj_7', 'class': 'wall', 'description': 'Continuous high wall with vegetation above it along the right side of sidewalk', 'position': 'right side of image from foreground to background', 'orientation': 'parallel to sidewalk'}, {'id': 'obj_8', 'class': 'vegetation', 'description': 'Overhanging greenery from the top of the wall partially extending toward sidewalk', 'position': 'upper-right area', 'orientation': 'hanging over wall'}, {'id': 'obj_9', 'class': 'manhole_cover', 'description': 'Circular manhole cover embedded in the sidewalk surface', 'position': 'foreground center of sidewalk', 'orientation': 'horizontal on walking path'}, {'id': 'obj_10', 'class': 'pedestrian', 'description': 'Single person walking in the distance along the sidewalk', 'position': 'upper-center of sidewalk, far from camera', 'orientation': 'facing away from camera, walking deeper into scene'}, {'id': 'obj_11', 'class': 'street_light', 'description': 'Tall streetlights illuminating roadway and part of sidewalk', 'position': 'upper-left side of scene', 'orientation': 'vertical poles'}]</t>
  </si>
  <si>
    <t>[{'id': 'obj_1', 'class': 'pedestrian', 'description': 'Single person in dark clothing walking across the marked crosswalk from right to left.', 'position': 'center-left foreground on the crosswalk', 'orientation': 'body facing left, slightly angled toward camera'}, {'id': 'obj_2', 'class': 'crosswalk', 'description': 'Painted zebra crosswalk spanning the street, surface somewhat worn but visible.', 'position': 'foreground and midground, centered horizontally', 'orientation': 'perpendicular to direction of vehicle travel'}, {'id': 'obj_3', 'class': 'roadway', 'description': 'Multi-lane urban road running from bottom-right foreground to top-right background.', 'position': 'right side and center of image', 'orientation': 'extends diagonally from near bottom-right toward upper-right'}, {'id': 'obj_4', 'class': 'vehicles', 'description': 'Several cars with headlights on traveling along the main road near the intersection.', 'position': 'upper-right background on the roadway', 'orientation': 'moving generally toward the camera along the right lanes'}, {'id': 'obj_5', 'class': 'traffic_lights', 'description': 'Multiple illuminated red traffic signals controlling the intersection.', 'position': 'upper-right background above the roadway', 'orientation': 'facing approaching vehicles'}, {'id': 'obj_6', 'class': 'sidewalk', 'description': 'Brick-textured tactile sidewalk with curb bordering the crosswalk entry.', 'position': 'bottom-left foreground', 'orientation': 'parallel to building wall and crosswalk edge'}, {'id': 'obj_7', 'class': 'building_wall', 'description': 'Stone and corrugated metal wall at the corner behind the crosswalk, partially obscured by trees.', 'position': 'left and upper-left background', 'orientation': 'curving around the street corner'}, {'id': 'obj_8', 'class': 'tree', 'description': 'Large leafy tree canopy overhanging the corner and part of the crosswalk area.', 'position': 'upper-left and top-center', 'orientation': 'branches extending over roadway and sidewalk'}, {'id': 'obj_9', 'class': 'road_edge_curb', 'description': 'Painted curb (red and white) marking the street edge and corner by the crosswalk.', 'position': 'left and center along the border between sidewalk and street', 'orientation': 'curved along the corner'}]</t>
  </si>
  <si>
    <t>[{'id': 'obj_1', 'class': 'walkway', 'description': 'Wide asphalt path extending from foreground to background along the left-center of the image', 'position': 'center-left, stretching from bottom edge toward the horizon', 'orientation': 'aligned longitudinally away from the camera'}, {'id': 'obj_2', 'class': 'paved_sidewalk', 'description': 'Brick-paved sidewalk running parallel to the asphalt path on the right side, separated by a brick border', 'position': 'right side, from bottom edge to mid-background', 'orientation': 'aligned with the asphalt path'}, {'id': 'obj_3', 'class': 'vehicle_van', 'description': 'White van parked along the left side near the bushes under streetlights', 'position': 'left-middle of the image', 'orientation': 'parked parallel to the path, facing away from the camera'}, {'id': 'obj_4', 'class': 'vehicle_car', 'description': 'Several cars parked in a line behind the white van along the left side', 'position': 'left background', 'orientation': 'parked parallel to the path'}, {'id': 'obj_5', 'class': 'street_light', 'description': 'Tall streetlights illuminating the path and sidewalk', 'position': 'left and right sides along the path', 'orientation': 'vertical poles with lamps facing downward'}, {'id': 'obj_6', 'class': 'vegetation_bushes', 'description': 'Low bushes and hedges bordering the paths on both sides', 'position': 'left foreground/midground and right midground', 'orientation': 'fixed landscaping'}, {'id': 'obj_7', 'class': 'tree', 'description': 'Multiple medium-sized trees lining both sides of the walkway', 'position': 'left and right sides, midground to background', 'orientation': 'upright'}]</t>
  </si>
  <si>
    <t>[{'id': 'obj_1', 'class': 'sidewalk', 'description': 'Brick-paved sidewalk in the foreground and right side of the image', 'position': 'right and bottom foreground of scene', 'orientation': 'extends from bottom toward background along right edge'}, {'id': 'obj_2', 'class': 'road', 'description': 'Two-lane urban street with crosswalk markings', 'position': 'left half and center background of scene', 'orientation': 'runs horizontally across the image'}, {'id': 'obj_3', 'class': 'car', 'description': 'Blue SUV-like vehicle driving or stopped near crosswalk', 'position': 'center-right background near crosswalk', 'orientation': 'facing left across the frame'}, {'id': 'obj_4', 'class': 'car', 'description': 'Yellow car parked on right side of the street behind blue car', 'position': 'center background, slightly left of blue car', 'orientation': 'facing left along curb'}, {'id': 'obj_5', 'class': 'car', 'description': 'Small dark car parked further back along curb', 'position': 'left-center background', 'orientation': 'facing left along curb'}, {'id': 'obj_6', 'class': 'traffic_sign', 'description': 'No parking / stopping sign on metal pole', 'position': 'right-center of image next to sidewalk edge', 'orientation': 'sign facing toward camera'}, {'id': 'obj_7', 'class': 'vegetation_debris', 'description': 'Uprooted shrub/branches and soil piled on sidewalk edge near curb', 'position': 'left-bottom to center-bottom, along curb at edge of sidewalk', 'orientation': 'spread lengthwise along curb, protruding into pedestrian path'}, {'id': 'obj_8', 'class': 'container', 'description': 'White plastic container or small bin lying on its side among vegetation debris', 'position': 'lower center of image, above curb between sidewalk and street', 'orientation': 'tilted on side, opening facing right'}]</t>
  </si>
  <si>
    <t>[{'id': 'obj_1', 'class': 'pedestrian', 'description': 'Single adult pedestrian in light top and dark pants walking away from the camera along the sidewalk carrying a turquoise bag.', 'position': 'center foreground on the sidewalk', 'orientation': 'back facing camera, walking forward along the path'}, {'id': 'obj_2', 'class': 'car', 'description': 'Row of parked cars along the curbside to the left of the sidewalk.', 'position': 'left side of scene, parallel to sidewalk', 'orientation': 'aligned with street direction'}, {'id': 'obj_3', 'class': 'sidewalk', 'description': 'Paved pedestrian sidewalk running from foreground to background.', 'position': 'occupying lower and central part of the image', 'orientation': 'aligned with viewing direction'}, {'id': 'obj_4', 'class': 'wall', 'description': 'Low stone retaining wall bordering the right edge of the sidewalk.', 'position': 'right side of sidewalk, mid-height', 'orientation': 'parallel to sidewalk'}, {'id': 'obj_5', 'class': 'tree', 'description': 'Tree trunk embedded in sidewalk area near the parked cars.', 'position': 'left midground on the sidewalk edge', 'orientation': 'vertical'}, {'id': 'obj_6', 'class': 'building', 'description': 'Multi-story residential or mixed-use buildings adjacent to the sidewalk.', 'position': 'right background', 'orientation': 'facing street'}, {'id': 'obj_7', 'class': 'street_lighting', 'description': 'Streetlights providing illumination along the road and sidewalk at dusk or night.', 'position': 'upper left/background', 'orientation': 'vertical poles along the street'}]</t>
  </si>
  <si>
    <t>[{'id': 'obj_1', 'class': 'car', 'description': 'Silver Kia SUV with yellow license plate parked closest to camera along curbside lane', 'position': 'right side of roadway, adjacent to sidewalk in foreground', 'orientation': 'facing away from camera, aligned with traffic flow'}, {'id': 'obj_2', 'class': 'car', 'description': 'Dark-colored SUV parked in front of the Kia in the same curbside lane', 'position': 'right side of roadway, mid-distance', 'orientation': 'facing away from camera, aligned with traffic flow'}, {'id': 'obj_3', 'class': 'car', 'description': 'Additional parked vehicle further ahead on the same side of the street', 'position': 'right side of roadway, background', 'orientation': 'facing away from camera'}, {'id': 'obj_4', 'class': 'building', 'description': 'Mid-rise residential or office buildings along the left side of the street', 'position': 'left side of scene', 'orientation': 'front facades facing street'}, {'id': 'obj_5', 'class': 'sidewalk', 'description': 'Paved pedestrian sidewalk running parallel to the parked cars', 'position': 'right edge and foreground of image', 'orientation': 'longitudinal along street'}, {'id': 'obj_6', 'class': 'street_lights', 'description': 'Tall street lights illuminating the roadway and sidewalk', 'position': 'right side and center background', 'orientation': 'vertical'}, {'id': 'obj_7', 'class': 'roadway', 'description': 'Multi-lane urban roadway with moving traffic lanes to the left of parked cars', 'position': 'center-left of image, extending into background', 'orientation': 'along image depth'}]</t>
  </si>
  <si>
    <t>[{'id': 'obj_1', 'class': 'sidewalk', 'description': 'Wide paved pedestrian sidewalk extending from foreground to background center of image', 'position': 'central foreground to center background', 'orientation': 'aligned roughly away from camera along image vertical axis'}, {'id': 'obj_2', 'class': 'road', 'description': 'Multi-lane roadway with moving and queued vehicles to the left of the sidewalk', 'position': 'left side, extending from mid-foreground to background', 'orientation': 'parallel to sidewalk, receding into distance'}, {'id': 'obj_3', 'class': 'car', 'description': 'Row of cars with headlights and taillights visible in traffic on the road', 'position': 'left midground to background along the road', 'orientation': 'facing away from the camera along the road'}, {'id': 'obj_4', 'class': 'street_light', 'description': 'Series of tall street lights illuminating road and sidewalk', 'position': 'left and right sides, mostly midground to background', 'orientation': 'vertical poles'}, {'id': 'obj_5', 'class': 'vegetation', 'description': 'Palm fronds, bushes, and low plants bordering the sidewalk and road', 'position': 'left foreground (palm and low plants) and right edge (hedge), also some trees midground', 'orientation': 'bordering both sides of the sidewalk'}, {'id': 'obj_6', 'class': 'traffic_sign', 'description': 'Yield sign near intersection at end of sidewalk', 'position': 'center-right background near crossing', 'orientation': 'facing approaching road traffic'}, {'id': 'obj_7', 'class': 'intersection', 'description': 'Road intersection with crosswalk markings at end of sidewalk', 'position': 'center background', 'orientation': 'perpendicular to main road'}, {'id': 'obj_8', 'class': 'barrier', 'description': 'Low metal railing separating plants from road on left', 'position': 'left foreground along edge of sidewalk/roadside planting area', 'orientation': 'parallel to sidewalk'}]</t>
  </si>
  <si>
    <t>[{'id': 'obj_1', 'class': 'sidewalk', 'description': 'Brick-paved sidewalk in the foreground running along the right side of the image', 'position': 'right and lower part of the scene', 'orientation': 'parallel to roadway'}, {'id': 'obj_2', 'class': 'roadway', 'description': 'Two-lane paved street with crosswalk markings', 'position': 'center to upper-left of the image', 'orientation': 'horizontal across the image'}, {'id': 'obj_3', 'class': 'car', 'description': 'Blue car driving or stopped on the near lane of the road', 'position': 'upper-center of the image', 'orientation': 'facing left'}, {'id': 'obj_4', 'class': 'car', 'description': 'Yellow car parked on the far side of the road', 'position': 'upper-center left of the image', 'orientation': 'parallel to curb'}, {'id': 'obj_5', 'class': 'car', 'description': 'Dark-colored parked cars along the far curb', 'position': 'upper-left background', 'orientation': 'parallel to curb'}, {'id': 'obj_6', 'class': 'traffic_sign', 'description': 'No parking or no stopping sign on a pole at sidewalk edge', 'position': 'upper-right of the image at edge of sidewalk and road', 'orientation': 'facing toward oncoming traffic'}, {'id': 'obj_7', 'class': 'vegetation_debris', 'description': 'Large pile of cut or uprooted branches and greenery lying on sidewalk and partly along curb', 'position': 'lower-center to mid-right of image, along edge of sidewalk by road', 'orientation': 'elongated along curb line'}, {'id': 'obj_8', 'class': 'container', 'description': 'White plastic bin or trash can lying on its side among vegetation debris', 'position': 'just left of center near lower-middle of image, at sidewalk edge', 'orientation': 'tipped over toward road'}]</t>
  </si>
  <si>
    <t>[{'id': 'obj_1', 'class': 'pedestrian', 'description': 'Single person in dark clothing crossing on the marked zebra crosswalk from right to left.', 'position': 'center-left of image, on the crosswalk near the middle of the road width', 'orientation': 'walking leftwards across the street'}, {'id': 'obj_2', 'class': 'crosswalk', 'description': 'Painted zebra crosswalk connecting sidewalks across the roadway.', 'position': 'foreground, spanning bottom center from left to right', 'orientation': 'perpendicular to traffic flow'}, {'id': 'obj_3', 'class': 'roadway', 'description': 'Multi-lane asphalt road with center lanes visible and intersection ahead.', 'position': 'occupies most of middle and right side of image', 'orientation': 'traffic flowing from background toward camera and vice versa'}, {'id': 'obj_4', 'class': 'vehicle', 'description': 'Single car with headlights on approaching the intersection.', 'position': 'mid-right background, in right lane near traffic lights', 'orientation': 'facing toward the camera'}, {'id': 'obj_5', 'class': 'vehicles', 'description': 'Multiple vehicles with red tail lights queued or moving through intersection further away.', 'position': 'far right background near traffic lights', 'orientation': 'mostly oriented away from the camera'}, {'id': 'obj_6', 'class': 'traffic_lights', 'description': 'Red traffic lights controlling the intersection.', 'position': 'upper right background above the roadway', 'orientation': 'facing traffic approaching the intersection'}, {'id': 'obj_7', 'class': 'sidewalk', 'description': 'Brick-textured sidewalk with tactile paving at edge of crosswalk.', 'position': 'bottom left foreground adjacent to crosswalk', 'orientation': 'parallel to building line'}, {'id': 'obj_8', 'class': 'building_wall', 'description': 'Stone and corrugated metal wall bordering corner with some materials leaning against it.', 'position': 'left and center background behind pedestrian', 'orientation': 'curving along street corner'}, {'id': 'obj_9', 'class': 'tree', 'description': 'Large overhanging tree canopy obscuring some street lighting above crosswalk.', 'position': 'upper left and center over the crosswalk', 'orientation': 'branches extending over roadway'}, {'id': 'obj_10', 'class': 'road_defect', 'description': 'Cracks and uneven surface visible on the road near the crosswalk.', 'position': 'mid-right foreground on roadway surface', 'orientation': 'irregular lines in pavement'}]</t>
  </si>
  <si>
    <t>[{'id': 'obj_1', 'class': 'pathway', 'description': 'Central paved path extending from foreground to background, likely pedestrian or mixed-use lane', 'position': 'center of scene', 'orientation': 'longitudinal, receding away from camera'}, {'id': 'obj_2', 'class': 'sidewalk', 'description': 'Brick-paved strip along the right side of the main path', 'position': 'right side of scene', 'orientation': 'parallel to main path'}, {'id': 'obj_3', 'class': 'sidewalk', 'description': 'Lighter-paved sidewalk or pedestrian area separated by vegetation on the left', 'position': 'left side of scene', 'orientation': 'parallel to main path'}, {'id': 'obj_4', 'class': 'vegetation', 'description': 'Trees and shrubs lining both sides of the path', 'position': 'both sides of path, mid to background', 'orientation': 'vertical'}, {'id': 'obj_5', 'class': 'street_light', 'description': 'Street lighting illuminating the right side of the path', 'position': 'upper-right area', 'orientation': 'vertical pole with overhead light'}, {'id': 'obj_6', 'class': 'bus', 'description': 'Red bus with illuminated signage stopped or moving slowly on a parallel road in the background', 'position': 'background left-center', 'orientation': 'facing away from camera along distant road'}, {'id': 'obj_7', 'class': 'car', 'description': 'Multiple small vehicle light clusters along background roadway', 'position': 'background left to center', 'orientation': 'aligned with distant road'}, {'id': 'obj_8', 'class': 'bollard', 'description': 'Short cylindrical posts grouping near edge of right sidewalk', 'position': 'mid-right of scene', 'orientation': 'vertical'}, {'id': 'obj_9', 'class': 'fence', 'description': 'Low wall with perforated metal or panel fence behind right-side vegetation', 'position': 'right mid-background', 'orientation': 'parallel to path'}]</t>
  </si>
  <si>
    <t>[{'id': 'obj_1', 'class': 'sidewalk', 'description': 'Paved pedestrian sidewalk on the left side of the image running parallel to the street', 'position': 'left side of scene, adjacent to curb', 'orientation': 'extends from foreground to background'}, {'id': 'obj_2', 'class': 'car', 'description': 'Light-colored car parked at the curb partly on the street, rear end facing the camera', 'position': 'center of image, next to curb', 'orientation': 'aligned with roadway, facing away from camera'}, {'id': 'obj_3', 'class': 'bulky_trash', 'description': 'Large appliance box or discarded appliance and several cardboard boxes placed behind the parked car, spanning from sidewalk onto street edge', 'position': 'center-foreground, partially on sidewalk, partially in parking/road area behind obj_2', 'orientation': 'stacked irregularly, forming a low obstacle'}, {'id': 'obj_4', 'class': 'road', 'description': 'Two-way residential street with white markings and cars parked along the right side', 'position': 'right side and center of image', 'orientation': 'extends from foreground to background'}, {'id': 'obj_5', 'class': 'cars', 'description': 'Several additional cars parked along the right side of the street', 'position': 'midground and background right', 'orientation': 'aligned with roadway'}, {'id': 'obj_6', 'class': 'buildings', 'description': 'Multi-story residential buildings lining both sides of the street', 'position': 'both sides of background', 'orientation': 'facing street'}, {'id': 'obj_7', 'class': 'street_lighting', 'description': 'Illuminated streetlights along the road', 'position': 'background center-left and further down the street', 'orientation': 'vertical poles'}, {'id': 'obj_8', 'class': 'vegetation', 'description': 'Bushes and trees along the left side next to the sidewalk', 'position': 'left edge of image', 'orientation': 'vertical growth along property line'}]</t>
  </si>
  <si>
    <t>[{'id': 'obj_1', 'class': 'sidewalk', 'description': 'Brick-paved pedestrian walkway filling most of the frame', 'position': 'extends from foreground bottom to background top, center of scene', 'orientation': 'aligned roughly along image vertical axis'}, {'id': 'obj_2', 'class': 'water_puddle', 'description': 'Large shallow puddle on the sidewalk reflecting nearby pole and surroundings', 'position': 'center-top area of the sidewalk', 'orientation': 'horizontal, spanning across several paving bricks'}, {'id': 'obj_3', 'class': 'vehicle', 'description': 'Parked car with rear portion and bumper visible at right edge near background', 'position': 'right side near top edge, partly off-frame', 'orientation': 'appears parked parallel to sidewalk'}, {'id': 'obj_4', 'class': 'pole', 'description': 'Vertical pole near the parked vehicle by the sidewalk edge', 'position': 'upper-right quadrant near edge of sidewalk', 'orientation': 'vertical'}, {'id': 'obj_5', 'class': 'fence', 'description': 'Low fence or barrier with vegetation along left edge of sidewalk', 'position': 'left side running from bottom-left to upper-left', 'orientation': 'roughly parallel to sidewalk'}]</t>
  </si>
  <si>
    <t>[{'id': 'obj_1', 'class': 'sidewalk', 'description': 'Wide brick-paved sidewalk stretching from foreground to background along the left side of the road', 'position': 'occupies most of the lower and central part of the image, left of the parked cars', 'orientation': 'aligned lengthwise away from the camera'}, {'id': 'obj_2', 'class': 'parked_car', 'description': 'Dark-colored car parked along the curb closest to the camera on the right', 'position': 'right side foreground', 'orientation': 'parked parallel to the curb facing away from the camera'}, {'id': 'obj_3', 'class': 'parked_car', 'description': 'Silver/gray car parked behind the first dark car', 'position': 'right side mid-ground', 'orientation': 'parallel to curb, facing away from the camera'}, {'id': 'obj_4', 'class': 'parked_car', 'description': 'Additional parked cars further down the street on the right side', 'position': 'right side background', 'orientation': 'parallel to curb, same direction as other cars'}, {'id': 'obj_5', 'class': 'road', 'description': 'Two-lane or single-lane residential street adjacent to the sidewalk', 'position': 'right side of image, between sidewalk and distant buildings/trees', 'orientation': 'extends away from the camera along with sidewalk'}, {'id': 'obj_6', 'class': 'building_wall', 'description': 'Low tan brick wall with utility cabinets on the left', 'position': 'left edge of sidewalk, mid-ground', 'orientation': 'runs parallel to sidewalk'}, {'id': 'obj_7', 'class': 'streetlight', 'description': 'Streetlights illuminating the road and sidewalk', 'position': 'upper center and background along the road', 'orientation': 'vertical poles'}, {'id': 'obj_8', 'class': 'tree', 'description': 'Large leafy trees and a palm tree lining the street', 'position': 'upper left and upper right background', 'orientation': 'vertical growth along sidewalk and road'}, {'id': 'obj_9', 'class': 'curb_marking', 'description': 'Red and white painted curb line next to the parked cars', 'position': 'lower right along the edge between sidewalk and street', 'orientation': 'parallel to sidewalk and parked cars'}]</t>
  </si>
  <si>
    <t>[{'id': 'obj_1', 'class': 'car', 'description': 'White hatchback car near center of image, positioned partly on the sidewalk near a corner', 'position': 'center-right foreground at junction between road and sidewalk', 'orientation': 'angled diagonally, front facing toward right side/background'}, {'id': 'obj_2', 'class': 'van', 'description': 'White van parked along the street in the background on the left side', 'position': 'upper-left background on the roadway', 'orientation': 'parallel to curb, facing to the right'}, {'id': 'obj_3', 'class': 'sidewalk', 'description': 'Paved pedestrian sidewalk extending from foreground to background with curb separating it from the road', 'position': 'occupies lower and middle parts of image, mainly right and center', 'orientation': 'extends from bottom toward top-right'}, {'id': 'obj_4', 'class': 'road', 'description': 'Roadway area to the left of the curb with vehicles present', 'position': 'left and upper parts of image beside the sidewalk', 'orientation': 'extends from bottom-left to upper-right background'}, {'id': 'obj_5', 'class': 'bollard_or_post', 'description': 'Short post at the edge of the sidewalk near the corner', 'position': 'right side near mid-height of image by the curb', 'orientation': 'vertical'}, {'id': 'obj_6', 'class': 'drain', 'description': 'Metal storm drain grate in the gutter near the curb', 'position': 'left-center foreground along curb line', 'orientation': 'aligned with curb'}]</t>
  </si>
  <si>
    <t>[{'id': 'obj_1', 'class': 'sidewalk', 'description': 'Brick-paved sidewalk in the foreground and right side of the image', 'position': 'foreground and right side of scene', 'orientation': 'runs parallel to the street'}, {'id': 'obj_2', 'class': 'roadway', 'description': 'Two-lane street with crosswalk markings visible in the midground', 'position': 'middle and left side of scene', 'orientation': 'runs horizontally across the frame'}, {'id': 'obj_3', 'class': 'car', 'description': 'Blue car on the roadway near the crosswalk, facing to the right', 'position': 'center-right midground on road', 'orientation': 'oriented from left to right'}, {'id': 'obj_4', 'class': 'car', 'description': 'Yellow car parked on the far side of the street', 'position': 'upper-center background', 'orientation': 'roughly parallel to curb'}, {'id': 'obj_5', 'class': 'car', 'description': 'Dark car parked further back along the far curb', 'position': 'upper-left background', 'orientation': 'parallel to curb'}, {'id': 'obj_6', 'class': 'traffic_sign', 'description': 'Vertical pole with circular no-parking or no-stopping sign', 'position': 'right side midground at curb edge', 'orientation': 'upright'}, {'id': 'obj_7', 'class': 'vegetation_debris', 'description': 'Pile of cut branches, leaves, and other green waste lying on the sidewalk and curb edge', 'position': 'foreground left-center, extending along curb between sidewalk and road', 'orientation': 'low horizontal pile'}, {'id': 'obj_8', 'class': 'container', 'description': 'Light-colored plastic container or small bin partially embedded in the vegetation pile', 'position': 'foreground left-center within debris', 'orientation': 'tilted on its side'}]</t>
  </si>
  <si>
    <t>[{'id': 'obj_1', 'class': 'sidewalk', 'description': 'Brick-paved sidewalk in the foreground and right side of the image, running parallel to the street', 'position': 'foreground and right side of scene', 'orientation': 'extends from bottom center toward upper right'}, {'id': 'obj_2', 'class': 'roadway', 'description': 'Paved street with light-colored surface alongside the sidewalk, including a storm drain near the curb', 'position': 'left side and midground of scene', 'orientation': 'extends from bottom left toward upper center'}, {'id': 'obj_3', 'class': 'car', 'description': 'White hatchback car on the street approaching or stopped near the intersection, rear facing the camera', 'position': 'midground center-left', 'orientation': 'facing away from the camera toward the intersection'}, {'id': 'obj_4', 'class': 'car', 'description': 'White sedan at the intersection ahead of the hatchback, partially visible', 'position': 'background center', 'orientation': 'angled slightly toward the camera from right to left'}, {'id': 'obj_5', 'class': 'van', 'description': 'White panel van parked or stopped at the far side of the intersection', 'position': 'background left', 'orientation': 'facing right'}, {'id': 'obj_6', 'class': 'building', 'description': 'Multi-story residential or mixed-use buildings bordering the street', 'position': 'background center and right', 'orientation': 'front facades facing the street'}, {'id': 'obj_7', 'class': 'vegetation', 'description': 'Shrubs or hedges along raised planter next to sidewalk on the right, and trees in background', 'position': 'right edge and upper part of scene', 'orientation': 'linear hedge parallel to sidewalk'}, {'id': 'obj_8', 'class': 'curb', 'description': 'Raised curb separating the sidewalk from the street', 'position': 'runs along left edge of sidewalk from foreground to midground', 'orientation': 'parallel to sidewalk'}, {'id': 'obj_9', 'class': 'drain', 'description': 'Storm drain grate at the edge of the roadway near the curb', 'position': 'left of sidewalk in lower-mid part of image', 'orientation': 'aligned perpendicular to curb'}]</t>
  </si>
  <si>
    <t>[{'id': 'obj_1', 'class': 'sidewalk', 'description': 'Main concrete pedestrian path running from bottom center into the distance toward the center of the image.', 'position': 'center foreground to mid-distance', 'orientation': 'aligned roughly along image vertical axis, leading away from camera'}, {'id': 'obj_2', 'class': 'sidewalk', 'description': 'Paved brick sidewalk running parallel to the main path on the right side, separated by a narrow strip.', 'position': 'right foreground to mid-distance', 'orientation': 'parallel to main path'}, {'id': 'obj_3', 'class': 'roadway', 'description': 'Multi-lane road with cars, to the left of the pedestrian path.', 'position': 'left side of image from foreground to distance', 'orientation': 'parallel to sidewalk'}, {'id': 'obj_4', 'class': 'car', 'description': 'Parked white car on the roadside next to the median, facing away from the camera.', 'position': 'left mid-ground', 'orientation': 'facing away along direction of road'}, {'id': 'obj_5', 'class': 'car', 'description': 'Silver car with green interior light, either parked or slowly moving along the near lane.', 'position': 'left foreground', 'orientation': 'facing away along road'}, {'id': 'obj_6', 'class': 'car', 'description': 'Additional cars farther along the road with visible headlights/taillights.', 'position': 'left background and center distance', 'orientation': 'aligned with traffic flow'}, {'id': 'obj_7', 'class': 'street_lights', 'description': 'Tall lamp posts illuminating the roadway and sidewalk.', 'position': 'left and center background', 'orientation': 'upright vertical'}, {'id': 'obj_8', 'class': 'traffic_lights', 'description': 'Green traffic signal visible in the distance along the road.', 'position': 'center background', 'orientation': 'facing oncoming traffic'}, {'id': 'obj_9', 'class': 'vegetation', 'description': 'Trees and bushes on both sides of the sidewalk and along the median.', 'position': 'left and right sides of scene', 'orientation': 'various'}, {'id': 'obj_10', 'class': 'parked_vehicle', 'description': 'Light-colored van or SUV partially visible behind bushes on the right side.', 'position': 'right mid-ground', 'orientation': 'mostly parallel to road'}]</t>
  </si>
  <si>
    <t>[{'id': 'obj_1', 'class': 'sidewalk', 'description': 'Paved pedestrian sidewalk with brick border on the right side of the image running into the distance', 'position': 'right foreground to center background', 'orientation': 'aligned roughly away from camera along image depth'}, {'id': 'obj_2', 'class': 'pathway', 'description': 'Asphalt path running parallel to the sidewalk, possibly cycle lane or service path', 'position': 'center foreground to center background', 'orientation': 'aligned away from camera along image depth'}, {'id': 'obj_3', 'class': 'parked_vehicle', 'description': 'White van parked along the street on the far left edge', 'position': 'left foreground', 'orientation': 'facing away from camera along the road'}, {'id': 'obj_4', 'class': 'parked_vehicle', 'description': 'Dark-colored car parked behind the white van along the street', 'position': 'left midground', 'orientation': 'aligned with roadway'}, {'id': 'obj_5', 'class': 'road', 'description': 'Illuminated vehicular roadway with additional cars and traffic lights in the distance', 'position': 'left side extending to background', 'orientation': 'parallel to paths, receding into distance'}, {'id': 'obj_6', 'class': 'traffic_light', 'description': 'Red traffic signal visible in the distance above the roadway', 'position': 'center-left background', 'orientation': 'facing toward incoming traffic'}, {'id': 'obj_7', 'class': 'street_lighting', 'description': 'Multiple streetlights illuminating the path and road', 'position': 'left and center background', 'orientation': 'upright poles along road'}, {'id': 'obj_8', 'class': 'trees', 'description': 'Rows of trees lining both sides of the paths', 'position': 'left and right edges from foreground to background', 'orientation': 'vertical'}, {'id': 'obj_9', 'class': 'vegetation', 'description': 'Low shrubs and landscaped greenery beside the sidewalk and road', 'position': 'right side and left planting strip', 'orientation': 'ground-level plantings'}]</t>
  </si>
  <si>
    <t>[{'id': 'obj_1', 'class': 'sidewalk', 'description': 'Wide brick-paved sidewalk extending from foreground to background through center of image', 'position': 'center of scene, parallel to roadway', 'orientation': 'aligned away from camera toward background'}, {'id': 'obj_2', 'class': 'road', 'description': 'Multi-lane road with moving vehicles to the left of the sidewalk', 'position': 'left side of scene, parallel to sidewalk', 'orientation': 'aligned away from camera toward background'}, {'id': 'obj_3', 'class': 'vehicles', 'description': 'Several cars driving along the road with headlights visible', 'position': 'left mid to background of scene', 'orientation': 'moving away from camera'}, {'id': 'obj_4', 'class': 'street_lights', 'description': 'Modern curved streetlights placed along the sidewalk', 'position': 'center to background along middle of sidewalk', 'orientation': 'vertical poles'}, {'id': 'obj_5', 'class': 'fence', 'description': 'Tall metal fence on top of a stone wall bordering the right side of the sidewalk', 'position': 'right side of scene from mid to background', 'orientation': 'parallel to sidewalk'}, {'id': 'obj_6', 'class': 'vegetation', 'description': 'Shrubs and bushes along the base of the wall and several trees lining the road', 'position': 'right edge (bushes) and left edge (trees) of scene', 'orientation': 'fixed landscaping'}, {'id': 'obj_7', 'class': 'barrier', 'description': 'Low metal guardrail separating the sidewalk/edge area from the main roadway', 'position': 'left side between sidewalk and road', 'orientation': 'parallel to road'}]</t>
  </si>
  <si>
    <t>[{'id': 'obj_1', 'class': 'sidewalk', 'description': 'Paved pedestrian sidewalk running from foreground to background along a stone wall', 'position': 'occupies most of lower and central part of image', 'orientation': 'extends from bottom center toward upper center'}, {'id': 'obj_2', 'class': 'vegetation', 'description': 'Large leafy bush extending from planting area on the right into the middle of the sidewalk', 'position': 'center-right of the image, intruding into walking path', 'orientation': 'protruding horizontally from right to left'}, {'id': 'obj_3', 'class': 'wall', 'description': 'Low stone retaining wall bordering the right side of the sidewalk', 'position': 'right edge of the image, running from bottom to mid-right', 'orientation': 'parallel to sidewalk'}, {'id': 'obj_4', 'class': 'car', 'description': 'White car parked on the street along the left side of the sidewalk', 'position': 'left-mid of image, partially visible', 'orientation': 'aligned with street'}, {'id': 'obj_5', 'class': 'traffic_sign', 'description': 'Various street and parking signs on poles near the street', 'position': 'left and upper-central areas near the roadway', 'orientation': 'facing oncoming traffic'}, {'id': 'obj_6', 'class': 'street', 'description': 'Roadway adjacent to the sidewalk with parked vehicles', 'position': 'left side and background of the image', 'orientation': 'running roughly parallel to sidewalk'}]</t>
  </si>
  <si>
    <t>[{'id': 'obj_1', 'class': 'sidewalk', 'description': 'Paved brick sidewalk extending from bottom center to upper center of image', 'position': 'foreground and midground center', 'orientation': 'aligned roughly along image vertical axis'}, {'id': 'obj_2', 'class': 'curb', 'description': 'Raised curb with red-white painted edge marking boundary between sidewalk and street', 'position': 'left side of sidewalk, mid-left edge of image', 'orientation': 'runs roughly vertically near left side'}, {'id': 'obj_3', 'class': 'car', 'description': 'Parked car adjacent to curb partly visible at upper left', 'position': 'upper left of image beside curb', 'orientation': 'aligned parallel to curb, facing away from camera'}, {'id': 'obj_4', 'class': 'building_structure', 'description': 'Columns or walls of a building along right side of sidewalk', 'position': 'right edge of image, mid to upper area', 'orientation': 'vertical elements along sidewalk'}, {'id': 'obj_5', 'class': 'stain_or_patch_on_ground', 'description': 'Irregular darker patch on the sidewalk surface', 'position': 'right-of-center on sidewalk in mid-lower part of image', 'orientation': 'flat on ground'}]</t>
  </si>
  <si>
    <t>[{'id': 'obj_1', 'class': 'sidewalk', 'description': 'Paved brick sidewalk running from bottom foreground toward upper left beside a street', 'position': 'covers most of lower and central part of image', 'orientation': 'aligned roughly bottom-to-top of frame'}, {'id': 'obj_2', 'class': 'cardboard_box', 'description': 'Tall cardboard box standing upright near hedge on right side of sidewalk', 'position': 'right-center of image adjacent to hedge', 'orientation': 'front face toward camera'}, {'id': 'obj_3', 'class': 'cardboard_box', 'description': 'Large flattened cardboard box leaning against hedge behind upright box', 'position': 'right-center, slightly behind obj_2', 'orientation': 'leaning diagonally toward sidewalk'}, {'id': 'obj_4', 'class': 'hedge', 'description': 'Dense green hedge forming boundary along right edge of sidewalk', 'position': 'right side of scene', 'orientation': 'parallel to sidewalk'}, {'id': 'obj_5', 'class': 'car', 'description': 'White car on the street next to the sidewalk, partially visible', 'position': 'upper left quadrant of image, on roadway', 'orientation': 'oriented left-right relative to frame'}, {'id': 'obj_6', 'class': 'car', 'description': 'Another light-colored car ahead of the white car on the street', 'position': 'upper left edge of image, mostly out of frame', 'orientation': 'aligned with roadway'}, {'id': 'obj_7', 'class': 'lamp_post', 'description': 'Striped pole likely serving as streetlight or sign post on curbside', 'position': 'left-center near curb between sidewalk and street', 'orientation': 'vertical'}, {'id': 'obj_8', 'class': 'roadway', 'description': 'Street adjacent to sidewalk with moving vehicles', 'position': 'upper left area', 'orientation': 'left-right across frame'}]</t>
  </si>
  <si>
    <t>[{'id': 'obj_1', 'class': 'car', 'description': 'Silver passenger car parked at an angle partly on the sidewalk in the left foreground', 'position': 'left side of image, intruding into sidewalk area next to curb', 'orientation': 'facing away from camera along sidewalk direction'}, {'id': 'obj_2', 'class': 'van', 'description': 'White van on the roadway ahead with rear lights on', 'position': 'center background on street at a slight curve', 'orientation': 'facing away from camera along the roadway'}, {'id': 'obj_3', 'class': 'sidewalk', 'description': 'Paved pedestrian sidewalk running from foreground to background, partially obstructed by parked car', 'position': 'bottom center to mid-right of image', 'orientation': 'extends away from camera'}, {'id': 'obj_4', 'class': 'road', 'description': 'Adjacent roadway where the van is located', 'position': 'center to upper center of image, left of sidewalk', 'orientation': 'curves slightly to the right'}, {'id': 'obj_5', 'class': 'vegetation', 'description': 'Bushes and trees lining the right side of the sidewalk', 'position': 'right side of image', 'orientation': 'parallel to sidewalk'}, {'id': 'obj_6', 'class': 'building', 'description': 'Multi-story urban buildings with lit windows in the background', 'position': 'upper left and center background', 'orientation': 'front facades facing camera'}, {'id': 'obj_7', 'class': 'street_light', 'description': 'Illuminated street light above the parked car', 'position': 'upper left of image', 'orientation': 'vertical pole with lamp at top'}]</t>
  </si>
  <si>
    <t>[{'id': 'obj_1', 'class': 'sidewalk', 'description': 'Paved pedestrian walkway running from foreground to background along the right side of the image', 'position': 'right side of scene, extending longitudinally', 'orientation': 'aligned with camera viewpoint, receding into distance'}, {'id': 'obj_2', 'class': 'service_road_or_path', 'description': 'Parallel lighter-surfaced path or service lane adjacent to sidewalk separated by a brick strip', 'position': 'left-center of scene, parallel to sidewalk', 'orientation': 'aligned with camera viewpoint, receding into distance'}, {'id': 'obj_3', 'class': 'road', 'description': 'Main vehicular roadway with lane lighting and green-lit landscaping', 'position': 'far left of image, partly out of frame', 'orientation': 'parallel to sidewalk, receding into background'}, {'id': 'obj_4', 'class': 'vehicle', 'description': 'Distant car or small vehicle on the road with headlights facing away or sideways', 'position': 'background center-left near end of visible road', 'orientation': 'aligned with road direction'}, {'id': 'obj_5', 'class': 'vegetation', 'description': 'Trees, shrubs, and landscaped plants along both sides of the paths and road', 'position': 'both sides of scene, especially right and far left', 'orientation': 'upright, fixed'}, {'id': 'obj_6', 'class': 'streetlight', 'description': 'Multiple streetlights illuminating sidewalk and road', 'position': 'left and center background along road and path', 'orientation': 'vertical poles with lights facing downward'}, {'id': 'obj_7', 'class': 'building', 'description': 'Tall high-rise building with lights on in windows in far background', 'position': 'top center of image, beyond trees', 'orientation': 'upright, facing camera'}]</t>
  </si>
  <si>
    <t>[{'id': 'obj_1', 'class': 'sidewalk', 'description': 'Paved brick sidewalk extending from foreground to background', 'position': 'occupies most of the center and right side of the frame', 'orientation': 'runs roughly from bottom center towards top center'}, {'id': 'obj_2', 'class': 'car', 'description': 'Dark-colored car parked along the curb at left edge of the image', 'position': 'left side, mid to upper portion of frame, adjacent to curb line', 'orientation': 'aligned parallel to road and curb'}, {'id': 'obj_3', 'class': 'roadway', 'description': 'Portion of asphalt road with white lane/edge markings next to the sidewalk', 'position': 'left side of frame, adjacent to curb', 'orientation': 'runs roughly from bottom left toward upper left'}, {'id': 'obj_4', 'class': 'curb', 'description': 'Raised curb with red-and-white painted edge separating sidewalk and roadway', 'position': 'left side of sidewalk, extending from bottom left toward mid-top', 'orientation': 'parallel to sidewalk and roadway'}, {'id': 'obj_5', 'class': 'bollard', 'description': 'Concrete or stone bollard on the sidewalk edge', 'position': 'right side, upper third of frame', 'orientation': 'vertical post'}, {'id': 'obj_6', 'class': 'tree', 'description': 'Tree trunk emerging from a cut-out in the sidewalk near the parked car', 'position': 'upper center-left of frame', 'orientation': 'vertical trunk'}]</t>
  </si>
  <si>
    <t>[{'id': 'obj_1', 'class': 'sidewalk', 'description': 'Paved pedestrian path running from foreground to background along the right side of the image', 'position': 'right side, extending from bottom to top of frame', 'orientation': 'aligned roughly away from camera toward background center'}, {'id': 'obj_2', 'class': 'walkway', 'description': 'Asphalt-like pedestrian or bike path between planted strip and brick sidewalk', 'position': 'center of image, extending from bottom center to upper center', 'orientation': 'aligned away from camera toward background center'}, {'id': 'obj_3', 'class': 'road', 'description': 'Vehicle roadway with lane markings and moving cars, separated from walkway by a planted strip', 'position': 'left side of image, parallel to the walkway', 'orientation': 'away from camera toward distant traffic lights'}, {'id': 'obj_4', 'class': 'car', 'description': 'Dark-colored parked car adjacent to curb near left foreground', 'position': 'left lower quadrant, facing away from camera along roadway', 'orientation': 'parallel to road, nose toward background'}, {'id': 'obj_5', 'class': 'car', 'description': 'Blurred moving vehicles on roadway near mid-left distance', 'position': 'mid-left area near green traffic light', 'orientation': 'aligned along road direction'}, {'id': 'obj_6', 'class': 'traffic_light', 'description': 'Green traffic signal controlling roadway traffic', 'position': 'left-center background near roadway', 'orientation': 'facing along the direction of vehicle flow'}, {'id': 'obj_7', 'class': 'street_light', 'description': 'Illuminated street lamp above walkway providing lighting', 'position': 'upper-right quadrant above path', 'orientation': 'overhanging the path'}, {'id': 'obj_8', 'class': 'tree', 'description': 'Row of mature trees separating roadway from pedestrian path', 'position': 'extending from left-center foreground to mid-background', 'orientation': 'vertical trunks along planted strip'}, {'id': 'obj_9', 'class': 'bench', 'description': 'White bench along the right side of the path', 'position': 'right mid-distance along sidewalk edge', 'orientation': 'facing the path'}, {'id': 'obj_10', 'class': 'manhole_cover', 'description': 'Circular manhole cover embedded in brick sidewalk', 'position': 'lower-right quadrant on brick path', 'orientation': 'horizontal on ground surface'}]</t>
  </si>
  <si>
    <t>[{'id': 'obj_1', 'class': 'sidewalk', 'description': 'Brick-paved sidewalk in the foreground and right side of the image', 'position': 'foreground and right side of scene', 'orientation': 'runs parallel to the road'}, {'id': 'obj_2', 'class': 'road', 'description': 'Two-lane urban street with a painted pedestrian crosswalk', 'position': 'left and central upper part of scene', 'orientation': 'runs horizontally across image'}, {'id': 'obj_3', 'class': 'car', 'description': 'Blue car driving or turning near the crosswalk', 'position': 'upper right-center of scene on the road', 'orientation': 'facing away from the camera'}, {'id': 'obj_4', 'class': 'car', 'description': 'Yellow car parked on the opposite side of the street near the crosswalk', 'position': 'upper middle-left of scene', 'orientation': 'parallel to curb'}, {'id': 'obj_5', 'class': 'car', 'description': 'Dark compact car parked further back along the opposite curb', 'position': 'upper left of scene', 'orientation': 'parallel to curb'}, {'id': 'obj_6', 'class': 'sign_post', 'description': 'Metal pole with traffic sign mounted near curb', 'position': 'right-center near road edge', 'orientation': 'vertical'}, {'id': 'obj_7', 'class': 'vegetation_debris', 'description': 'Uprooted shrub, soil, and plant material lying across the sidewalk near the curb', 'position': 'lower left-center of scene along edge of sidewalk and street', 'orientation': 'sprawled diagonally across pedestrian path'}, {'id': 'obj_8', 'class': 'container_debris', 'description': 'White plastic container or bucket lying among the vegetation debris on the sidewalk', 'position': 'just above the shrub pile on the sidewalk edge', 'orientation': 'tilted on its side'}]</t>
  </si>
  <si>
    <t>[{'id': 'obj_1', 'class': 'sidewalk', 'description': 'Main paved walkway running from foreground to background along the center-left of the image', 'position': 'center of scene, extending from bottom edge toward horizon', 'orientation': 'longitudinal, aligned with camera viewing direction'}, {'id': 'obj_2', 'class': 'sidewalk', 'description': 'Brick-paved sidewalk or verge parallel to the main paved path on the right', 'position': 'right side of scene, parallel to main path', 'orientation': 'longitudinal'}, {'id': 'obj_3', 'class': 'road', 'description': 'Vehicle roadway with moving and stopped cars separated from the path by a hedge', 'position': 'left side of scene', 'orientation': 'parallel to sidewalks'}, {'id': 'obj_4', 'class': 'car', 'description': 'Several cars on the roadway, some apparently stopped at a red traffic light', 'position': 'left midground', 'orientation': 'facing away from camera, aligned with road direction'}, {'id': 'obj_5', 'class': 'traffic_light', 'description': 'Red traffic light controlling road traffic', 'position': 'left midground above the road', 'orientation': 'facing oncoming vehicles'}, {'id': 'obj_6', 'class': 'building', 'description': 'Mid-rise building with lit entrance and parked vehicles in front', 'position': 'right midground', 'orientation': 'front façade partially facing camera'}, {'id': 'obj_7', 'class': 'tree', 'description': 'Large leafy trees along the sidewalk and road', 'position': 'left and right sides, midground and background', 'orientation': 'upright'}, {'id': 'obj_8', 'class': 'bush', 'description': 'Low hedges separating road and walkway and lining right sidewalk', 'position': 'left and right edges along the path', 'orientation': 'linear along path'}, {'id': 'obj_9', 'class': 'bollard', 'description': 'Short light-colored bollards or posts lining the right edge of the brick path', 'position': 'right midground', 'orientation': 'aligned along path'}, {'id': 'obj_10', 'class': 'pavement_crack', 'description': 'Visible cracks and slight surface wear on main paved path', 'position': 'center foreground and midground of main path', 'orientation': 'irregular lines roughly aligned with path'}]</t>
  </si>
  <si>
    <t>[{'id': 'obj_1', 'class': 'sidewalk', 'description': 'Paved brick sidewalk running from foreground to background along the right side of a street', 'position': 'occupies most of the lower and central part of the image', 'orientation': 'aligned roughly from bottom to top of image'}, {'id': 'obj_2', 'class': 'cardboard_box', 'description': 'Large upright cardboard box filled with long flat packages and other items placed on the sidewalk near a low wall', 'position': 'right side of the sidewalk, mid-right of image', 'orientation': 'box opening facing toward camera'}, {'id': 'obj_3', 'class': 'debris_trash', 'description': 'Loose packaging and trash lying near the box and on the dirt/grass edge', 'position': 'right edge of image next to the box and soil area', 'orientation': 'scattered'}, {'id': 'obj_4', 'class': 'car', 'description': 'White car parked along the curb on the left side of the road', 'position': 'left-middle of image', 'orientation': 'facing toward right side of image'}, {'id': 'obj_5', 'class': 'car', 'description': 'Light-colored car parked further back along the street', 'position': 'left background', 'orientation': 'parallel to curb'}, {'id': 'obj_6', 'class': 'traffic_sign', 'description': 'Blue right-turn mandatory sign mounted above a yield sign on sidewalk edge', 'position': 'center-left of image by curb', 'orientation': 'facing approaching road traffic'}, {'id': 'obj_7', 'class': 'building', 'description': 'Multi-story residential buildings with balconies and windows', 'position': 'background across the street', 'orientation': 'front facades facing camera'}, {'id': 'obj_8', 'class': 'vegetation', 'description': 'Small bushes and some grass along the right side by the low wall and dirt area', 'position': 'right side of image behind the box and along soil', 'orientation': 'fixed'}, {'id': 'obj_9', 'class': 'street_lighting', 'description': 'Ambient lighting illuminating the sidewalk and road (fixtures not clearly visible but light evident)', 'position': 'off-frame, affecting overall scene', 'orientation': 'overhead'}]</t>
  </si>
  <si>
    <t>[{'id': 'obj_1', 'class': 'sidewalk', 'description': 'Paved pedestrian sidewalk with rectangular dark tiles extending into the distance', 'position': 'covers most of the right and lower parts of the image', 'orientation': 'aligned roughly from bottom to top of the frame'}, {'id': 'obj_2', 'class': 'planter_bed', 'description': 'Raised soil/planting area bordered by metal or concrete edge with some vegetation', 'position': 'left side of the image', 'orientation': 'long edge running roughly bottom-left to top-left'}, {'id': 'obj_3', 'class': 'damaged_paving_tile', 'description': 'Sidewalk tile cracked with a visible vertical gap and uneven surface', 'position': 'slightly below and left of image center on the walking path', 'orientation': 'crack running roughly vertically in the image'}, {'id': 'obj_4', 'class': 'shadow', 'description': 'Large human-like shadow cast across the sidewalk', 'position': 'lower half of the image crossing from bottom edge toward center', 'orientation': 'extending diagonally'}, {'id': 'obj_5', 'class': 'vegetation', 'description': 'Bushes or low plants in bed along the upper left side', 'position': 'top-left edge of the scene', 'orientation': 'bordering parallel to the sidewalk'}]</t>
  </si>
  <si>
    <t>[{'id': 'obj_1', 'class': 'pedestrian', 'description': 'Single person with long hair, carrying a bag, walking away from the camera in the middle of the marked crosswalk.', 'position': 'center foreground on the zebra crosswalk, between curb lines', 'orientation': 'walking straight ahead toward the opposite sidewalk'}, {'id': 'obj_2', 'class': 'crosswalk', 'description': 'White zebra-style pedestrian crosswalk across a two-lane roadway.', 'position': 'occupies lower half of image horizontally', 'orientation': 'perpendicular to the direction of vehicle travel'}, {'id': 'obj_3', 'class': 'traffic_light_pedestrian', 'description': 'Pedestrian traffic signal displaying a red light facing the pedestrian.', 'position': 'upper central area just beyond the crosswalk at the edge of the sidewalk', 'orientation': 'facing toward the camera and the approaching pedestrian'}, {'id': 'obj_4', 'class': 'car', 'description': 'Silver car parked nose-in off the roadway in a small driveway area next to a stone wall.', 'position': 'right-center background off the main road', 'orientation': 'front facing toward the street'}, {'id': 'obj_5', 'class': 'building_residential', 'description': 'Two-story residential-style building with balconies and windows behind the sidewalk.', 'position': 'upper half background spanning most of the image width', 'orientation': 'facade facing the street'}, {'id': 'obj_6', 'class': 'overhead_power_lines', 'description': 'Multiple parallel overhead cables running horizontally across the upper portion of the scene.', 'position': 'top portion of the image above buildings', 'orientation': 'horizontal'}]</t>
  </si>
  <si>
    <t>[{'id': 'obj_1', 'class': 'sidewalk', 'description': 'Wide paved pedestrian path running from foreground to background in the center of the image', 'position': 'center, extending depth-wise', 'orientation': 'aligned with the road, receding into distance'}, {'id': 'obj_2', 'class': 'sidewalk', 'description': 'Brick-paved sidewalk strip on the right, next to hedges and trees', 'position': 'right side, extending into background', 'orientation': 'parallel to main sidewalk and road'}, {'id': 'obj_3', 'class': 'road', 'description': 'Multi-lane roadway with moving and parked vehicles, divided from sidewalk by curb and planted strip', 'position': 'left side of image', 'orientation': 'parallel to sidewalks'}, {'id': 'obj_4', 'class': 'car', 'description': 'Dark-colored car parked nearest to camera on roadside', 'position': 'far left foreground', 'orientation': 'facing away from camera along the road'}, {'id': 'obj_5', 'class': 'car', 'description': 'White SUV parked further ahead along the curb', 'position': 'left midground', 'orientation': 'aligned with road, facing away'}, {'id': 'obj_6', 'class': 'cars', 'description': 'Several additional vehicles further down the road, some possibly moving', 'position': 'left background', 'orientation': 'aligned with traffic flow'}, {'id': 'obj_7', 'class': 'street_light', 'description': 'Tall streetlights illuminating road and sidewalk', 'position': 'left side along road', 'orientation': 'vertical poles along curb'}, {'id': 'obj_8', 'class': 'trees', 'description': 'Street trees and landscaped vegetation between road and sidewalk, and dense trees and hedges on right', 'position': 'both sides of sidewalks', 'orientation': 'lining roadway and pedestrian paths'}, {'id': 'obj_9', 'class': 'traffic_light', 'description': 'Red traffic signals visible in the distance', 'position': 'center-left background', 'orientation': 'facing toward approaching traffic'}, {'id': 'obj_10', 'class': 'debris', 'description': 'Small elongated object or branch on the sidewalk surface', 'position': 'near bottom center of the main sidewalk', 'orientation': 'lying flat on the pavement'}]</t>
  </si>
  <si>
    <t>[{'id': 'obj_1', 'class': 'sidewalk', 'description': 'Brick-paved sidewalk running from bottom foreground to upper center of the image', 'position': 'occupies lower and central right part of scene parallel to the roadway', 'orientation': 'aligned with road direction toward background'}, {'id': 'obj_2', 'class': 'road', 'description': 'Two-lane roadway with vehicles, adjacent to the left of the sidewalk', 'position': 'left side of image from bottom to top', 'orientation': 'running roughly from foreground bottom-left to background top-center'}, {'id': 'obj_3', 'class': 'car', 'description': 'Car stopped near a red traffic light in the distance', 'position': 'upper-center of the image on the road', 'orientation': 'facing away from the camera along the road'}, {'id': 'obj_4', 'class': 'traffic_light', 'description': 'Red traffic lights above the roadway', 'position': 'upper-center of image above the car', 'orientation': 'oriented toward approaching road traffic'}, {'id': 'obj_5', 'class': 'pedestrian', 'description': 'Single person walking away from the camera on the sidewalk', 'position': 'mid-right of image on the sidewalk near the tree and fence', 'orientation': 'walking toward background'}, {'id': 'obj_6', 'class': 'tree', 'description': 'Large tree growing from the left edge of the sidewalk, trunk leaning significantly over the pedestrian path', 'position': 'left side of sidewalk, trunk in mid-left, canopy over central upper portion', 'orientation': 'trunk angled from left edge of sidewalk toward upper-center of image'}, {'id': 'obj_7', 'class': 'fence', 'description': 'Metal fence separating sidewalk from a grass or park area on the right', 'position': 'runs along the right edge of the sidewalk from foreground to background', 'orientation': 'parallel to road and sidewalk'}, {'id': 'obj_8', 'class': 'street_lighting', 'description': 'Streetlights illuminating the road and sidewalk', 'position': 'distributed along the left and background areas', 'orientation': 'upright poles beside road'}]</t>
  </si>
  <si>
    <t>[{'id': 'obj_1', 'class': 'sidewalk', 'description': 'Wide brick-paved sidewalk extending from foreground to background along the left side of the road', 'position': 'dominates lower and central part of image, parallel to road', 'orientation': 'receding away from camera toward center background'}, {'id': 'obj_2', 'class': 'road', 'description': 'Asphalt roadway running alongside the right edge of the sidewalk', 'position': 'right side of image', 'orientation': 'receding from bottom-right toward upper-right background'}, {'id': 'obj_3', 'class': 'car', 'description': 'Dark-colored car with headlights on driving along the road', 'position': 'mid-right of image on roadway', 'orientation': 'moving toward camera along road'}, {'id': 'obj_4', 'class': 'street_light', 'description': 'Street lighting illuminating the sidewalk and road area', 'position': 'mostly outside frame, light cast from upper portions toward ground', 'orientation': 'overhead shining downward'}, {'id': 'obj_5', 'class': 'tree', 'description': 'Tree with trunk near curb between sidewalk and road', 'position': 'right-center of image adjacent to curb', 'orientation': 'vertical trunk casting shadow onto sidewalk'}, {'id': 'obj_6', 'class': 'metal_railing', 'description': 'Low metal railings lining the edge of the sidewalk on the left side and also separating sidewalk from road further ahead', 'position': 'along left edge and center background of sidewalk', 'orientation': 'parallel to sidewalk'}, {'id': 'obj_7', 'class': 'fire_hydrant', 'description': 'Red fire hydrant mounted next to the sidewalk rail on the left', 'position': 'left side of image near lower-left quadrant', 'orientation': 'upright'}, {'id': 'obj_8', 'class': 'vegetation', 'description': 'Bushes and plants along the left and center background bordering the sidewalk', 'position': 'left and center background', 'orientation': 'linear along walkway'}]</t>
  </si>
  <si>
    <t>[{'id': 'obj_1', 'class': 'sidewalk', 'description': 'Paved brick sidewalk running from foreground to background along the right side of the roadway', 'position': 'right side of the road, spanning bottom to top of image', 'orientation': 'aligned with road direction'}, {'id': 'obj_2', 'class': 'road', 'description': 'Multi-lane roadway with moving vehicles and lane markings', 'position': 'left side of image', 'orientation': 'runs from bottom-left toward upper-center'}, {'id': 'obj_3', 'class': 'tree', 'description': 'Large tree growing from the sidewalk with a pronounced lean over the pedestrian path', 'position': 'left edge of sidewalk in mid-foreground', 'orientation': 'trunk leaning diagonally rightward over sidewalk'}, {'id': 'obj_4', 'class': 'pedestrian', 'description': 'Person walking away from the camera along the sidewalk', 'position': 'mid-background slightly right of center on the sidewalk', 'orientation': 'facing away from camera, walking along sidewalk direction'}, {'id': 'obj_5', 'class': 'dog', 'description': 'Small dog on leash being walked by the pedestrian', 'position': 'near pedestrian obj_4 on the sidewalk', 'orientation': 'facing away from camera'}, {'id': 'obj_6', 'class': 'fence', 'description': 'Metal fence separating sidewalk from adjacent property', 'position': 'runs along right edge of sidewalk from foreground to background', 'orientation': 'parallel to sidewalk'}, {'id': 'obj_7', 'class': 'vehicles', 'description': 'Multiple cars driving on the road, some with headlights and taillights visible near an intersection', 'position': 'left and center-left background on the road', 'orientation': 'moving along the road toward and away from the intersection'}, {'id': 'obj_8', 'class': 'traffic_lights', 'description': 'Red traffic signals controlling the intersection', 'position': 'upper-center-left background above the road', 'orientation': 'facing approaching traffic'}, {'id': 'obj_9', 'class': 'street_lights', 'description': 'Tall street lamps providing illumination over road and sidewalk', 'position': 'left and central background above road and sidewalk', 'orientation': 'vertical poles'}]</t>
  </si>
  <si>
    <t>[{'id': 'obj_1', 'class': 'pedestrian', 'description': 'Single person with long hair, dark top, red patterned pants and blue bag walking on the crosswalk toward the far side of the street.', 'position': 'lower-left to center of the crosswalk, mid-lane of the road', 'orientation': 'walking away from the camera toward the opposite sidewalk'}, {'id': 'obj_2', 'class': 'crosswalk', 'description': 'Marked zebra crosswalk spanning the roadway.', 'position': 'foreground, occupying lower half of the image', 'orientation': 'perpendicular to direction of traffic'}, {'id': 'obj_3', 'class': 'traffic_signal', 'description': 'Pedestrian/traffic signal pole showing a red light.', 'position': 'center of image at far side of the crosswalk, near curb', 'orientation': 'facing the roadway and crosswalk'}, {'id': 'obj_4', 'class': 'car', 'description': 'Parked silver car in driveway or small parking area behind a low stone wall.', 'position': 'upper-right quadrant near far side of street', 'orientation': 'angled slightly toward the right'}, {'id': 'obj_5', 'class': 'building', 'description': 'Two-story residential-style building with balconies and shrubs in front.', 'position': 'background occupying upper half of image', 'orientation': 'façade facing the street'}, {'id': 'obj_6', 'class': 'overhead_cables', 'description': 'Multiple dark overhead cables crossing the top of the frame.', 'position': 'top portion of image, above building and street', 'orientation': 'running horizontally across the scene'}]</t>
  </si>
  <si>
    <t>[{'id': 'obj_1', 'class': 'pedestrian', 'description': 'Single person walking on the sidewalk near the center of the image, looking down at a phone.', 'position': 'mid-foreground center on paved sidewalk', 'orientation': 'walking toward the camera, head tilted downward to a handheld device'}, {'id': 'obj_2', 'class': 'car', 'description': 'White car stopped on the roadway close to the left edge of the frame.', 'position': 'left foreground on roadway adjacent to sidewalk', 'orientation': 'aligned with traffic lane, facing away from the camera'}, {'id': 'obj_3', 'class': 'car', 'description': 'Dark car with illuminated taillights immediately ahead of the white car in traffic.', 'position': 'left midground on roadway', 'orientation': 'facing away from the camera in the same lane'}, {'id': 'obj_4', 'class': 'car', 'description': 'Additional vehicles further along the road in a line of traffic.', 'position': 'left background on roadway', 'orientation': 'aligned with lane, facing away from the camera'}, {'id': 'obj_5', 'class': 'sidewalk', 'description': 'Wide brick-paved pedestrian sidewalk running from foreground to background.', 'position': 'occupies most of the right and central portion of the image', 'orientation': 'parallel to the roadway'}, {'id': 'obj_6', 'class': 'roadway', 'description': 'Single-direction urban roadway with vehicles and street lighting.', 'position': 'left half of the image beside the sidewalk', 'orientation': 'extends from bottom left toward upper center background'}, {'id': 'obj_7', 'class': 'street_light', 'description': 'Multiple street lights along the roadway providing illumination.', 'position': 'left and center background above road and sidewalk', 'orientation': 'vertical poles'}, {'id': 'obj_8', 'class': 'advertisement_sign', 'description': 'Illuminated blue sign with non-Latin script mounted on a pole above the sidewalk.', 'position': 'upper center-left above sidewalk near tree', 'orientation': 'facing toward camera'}, {'id': 'obj_9', 'class': 'vegetation', 'description': 'Trees and tall plants along the right side of the sidewalk and in a median or verge near the road.', 'position': 'right edge and central background', 'orientation': 'vertical growth'}]</t>
  </si>
  <si>
    <t>[{'id': 'obj_1', 'class': 'sidewalk', 'description': 'Brick-paved pedestrian walkway filling most of the frame', 'position': 'entire lower and central area of image', 'orientation': 'flat horizontal surface extending away from camera'}, {'id': 'obj_2', 'class': 'water_puddle', 'description': 'Shallow standing water on the sidewalk reflecting a pole and surroundings', 'position': 'central upper area of the sidewalk', 'orientation': 'flat on pavement surface'}, {'id': 'obj_3', 'class': 'vehicle', 'description': 'Parked dark-colored vehicle partly visible near top right edge', 'position': 'top-right edge of frame, off to the side of the sidewalk', 'orientation': 'aligned roughly parallel to the sidewalk'}, {'id': 'obj_4', 'class': 'pole', 'description': 'Vertical post with contrasting bands, partly in frame near top center-right, and reflected in puddle', 'position': 'upper center-right, near curb or edge of sidewalk', 'orientation': 'vertical'}]</t>
  </si>
  <si>
    <t>[{'id': 'obj_1', 'class': 'vegetation_debris', 'description': 'Large pile of cut tree branches and leaves lying along the curb, partly in the roadway next to the sidewalk in the foreground.', 'position': 'foreground center-left, extending from curb into right-hand traffic lane', 'orientation': 'branches lying horizontally along the curb line'}, {'id': 'obj_2', 'class': 'car', 'description': 'White sedan parked on the right side of the street facing away from the camera.', 'position': 'mid-ground right, parallel parked along curb', 'orientation': 'facing away into background'}, {'id': 'obj_3', 'class': 'car', 'description': 'Light-colored hatchback parked behind the white sedan on the right side of the street.', 'position': 'mid-ground right, parallel parked along curb behind obj_2', 'orientation': 'facing away into background'}, {'id': 'obj_4', 'class': 'car', 'description': 'White car partially visible on the far left edge of the image, likely parked.', 'position': 'left edge foreground, adjacent to roadway', 'orientation': 'orientation unclear, likely parallel to curb'}, {'id': 'obj_5', 'class': 'sidewalk', 'description': 'Paved brick sidewalk running along the right edge of the image.', 'position': 'right side of frame parallel to street', 'orientation': 'longitudinal'}, {'id': 'obj_6', 'class': 'road', 'description': 'Two-way residential asphalt street with parked cars on one side.', 'position': 'center of scene extending from foreground to background', 'orientation': 'longitudinal'}, {'id': 'obj_7', 'class': 'tree', 'description': 'Street trees planted in soil strips along the curb between sidewalk and road.', 'position': 'mid-ground right and background', 'orientation': 'vertical trunks'}, {'id': 'obj_8', 'class': 'building', 'description': 'Multi-story residential apartment building with balconies and air conditioning units.', 'position': 'background across the street', 'orientation': 'faces toward street'}]</t>
  </si>
  <si>
    <t>[{'id': 'obj_1', 'class': 'sidewalk', 'description': 'Brick-paved sidewalk occupying most of the frame, running from bottom foreground to upper background.', 'position': 'central and lower portion of the scene', 'orientation': 'extends longitudinally from camera toward the top of the image'}, {'id': 'obj_2', 'class': 'curb', 'description': 'Painted curb with red and white sections bordering the sidewalk and roadway on the left side.', 'position': 'left edge of the scene, separating sidewalk and street', 'orientation': 'runs roughly parallel to sidewalk from bottom-left to upper-left'}, {'id': 'obj_3', 'class': 'car', 'description': 'Parked dark car partially visible near the upper-left background along the street.', 'position': 'upper-left of the scene, adjacent to curb', 'orientation': 'aligned parallel to the curb'}, {'id': 'obj_4', 'class': 'stain_or_wet_patch', 'description': 'Irregular darker patches on the brick sidewalk surface that appear like stains or wet spots.', 'position': 'center-right area of the sidewalk in the mid-ground', 'orientation': 'flat on ground'}, {'id': 'obj_5', 'class': 'building_wall', 'description': 'Building or structure wall running along the right side of the sidewalk.', 'position': 'right edge of the scene', 'orientation': 'parallel to sidewalk'}]</t>
  </si>
  <si>
    <t>[{'id': 'obj_1', 'class': 'sidewalk', 'description': 'Brick-paved sidewalk in the foreground running along the right side of the street', 'position': 'right foreground to midground', 'orientation': 'parallel to roadway'}, {'id': 'obj_2', 'class': 'roadway', 'description': 'Two-lane urban street with a marked pedestrian crosswalk', 'position': 'center to left of image', 'orientation': 'horizontal across the image'}, {'id': 'obj_3', 'class': 'car', 'description': 'Blue car driving or stopped near the pedestrian crossing', 'position': 'midground center-right on the road', 'orientation': 'facing left'}, {'id': 'obj_4', 'class': 'car', 'description': 'Yellow car parked on the far side of the street', 'position': 'midground center-left on opposite side of road', 'orientation': 'facing left'}, {'id': 'obj_5', 'class': 'car', 'description': 'Dark-colored car parked further back on opposite side of road', 'position': 'background left', 'orientation': 'facing left'}, {'id': 'obj_6', 'class': 'traffic_sign', 'description': 'No-parking or restriction sign on a pole near the curb', 'position': 'right side near curb, midground', 'orientation': 'vertical pole'}, {'id': 'obj_7', 'class': 'vegetation_debris', 'description': 'Pile of cut branches, leaves, and organic debris partly on the sidewalk and extending toward the curb', 'position': 'foreground right along curb line', 'orientation': 'low heap parallel to curb'}, {'id': 'obj_8', 'class': 'waste_container', 'description': 'Light-colored plastic container or bin lying on its side within the debris pile', 'position': 'foreground right near curb amidst vegetation', 'orientation': 'tipped over on its side'}]</t>
  </si>
  <si>
    <t>[{'id': 'obj_1', 'class': 'sidewalk', 'description': 'Paved brick sidewalk extending from foreground toward background along the right side of a street', 'position': 'covers most of lower and central part of image', 'orientation': 'aligned roughly bottom-to-top of image'}, {'id': 'obj_2', 'class': 'cardboard_box', 'description': 'Large upright cardboard box standing on the sidewalk near a hedge', 'position': 'right-center of image, near the edge of the sidewalk', 'orientation': 'front face roughly facing the camera'}, {'id': 'obj_3', 'class': 'cardboard_box', 'description': 'Another large cardboard box leaning against the hedge behind the first box', 'position': 'mid-right of image, slightly behind obj_2', 'orientation': 'leaning diagonally toward the hedge'}, {'id': 'obj_4', 'class': 'hedge', 'description': 'Dense green hedge forming a boundary at the right side of the sidewalk', 'position': 'right edge of image from mid-height upward', 'orientation': 'runs parallel to sidewalk'}, {'id': 'obj_5', 'class': 'car', 'description': 'White SUV on the street next to the curb', 'position': 'upper-center of image, beyond the curb', 'orientation': 'oriented left-right across the frame'}, {'id': 'obj_6', 'class': 'car', 'description': 'White sedan partially visible behind the SUV', 'position': 'upper-left of image', 'orientation': 'oriented left-right across the frame'}, {'id': 'obj_7', 'class': 'street_pole', 'description': 'Black-and-white striped pole on the curb between sidewalk and street', 'position': 'left-center of image near curb', 'orientation': 'vertical'}, {'id': 'obj_8', 'class': 'manhole_cover', 'description': 'Round manhole or utility cover embedded in sidewalk', 'position': 'left-lower part of image near curb', 'orientation': 'horizontal on pavement'}]</t>
  </si>
  <si>
    <t>[{'id': 'obj_1', 'class': 'sidewalk', 'description': 'Paved brick sidewalk running from bottom foreground toward upper left near the road edge', 'position': 'occupies most of the lower and central part of the image', 'orientation': 'aligned roughly bottom-to-top of frame'}, {'id': 'obj_2', 'class': 'cardboard_box', 'description': 'Large upright cardboard box positioned on the sidewalk adjacent to a hedge', 'position': 'right-center of the image along the edge of the sidewalk', 'orientation': 'front face toward camera'}, {'id': 'obj_3', 'class': 'cardboard_box', 'description': 'Another large cardboard box leaning against the hedge behind the first box', 'position': 'upper-right center of the image on the sidewalk near the curb and hedge', 'orientation': 'leaning backward toward hedge'}, {'id': 'obj_4', 'class': 'hedge', 'description': 'Dense green hedge forming a boundary along the right side of the sidewalk', 'position': 'extends along right edge of frame', 'orientation': 'parallel to sidewalk'}, {'id': 'obj_5', 'class': 'road', 'description': 'Vehicle roadway adjacent to the sidewalk with moving traffic', 'position': 'upper-left section of the image', 'orientation': 'runs roughly left-to-right'}, {'id': 'obj_6', 'class': 'car', 'description': 'White car traveling along the road', 'position': 'upper-left area of the image, partially blurred from motion', 'orientation': 'moving left to right'}, {'id': 'obj_7', 'class': 'street_pole', 'description': 'Vertical pole with black and light bands located at the curb line', 'position': 'left-center of the image between sidewalk and road', 'orientation': 'vertical'}, {'id': 'obj_8', 'class': 'manhole_cover', 'description': 'Circular manhole cover embedded in the sidewalk', 'position': 'left-center foreground of the image', 'orientation': 'horizontal'}]</t>
  </si>
  <si>
    <t>[{'id': 'obj_1', 'class': 'sidewalk', 'description': 'Brick-paved sidewalk extending from bottom center of the image toward the top, running parallel to the street.', 'position': 'occupies most of the center area of the scene', 'orientation': 'aligned roughly from bottom to top of the frame'}, {'id': 'obj_2', 'class': 'roadway', 'description': 'Asphalt road to the left of the sidewalk with white painted markings and a red-and-white curb edge.', 'position': 'left side of the image, adjacent to sidewalk', 'orientation': 'runs roughly bottom-left to top-left'}, {'id': 'obj_3', 'class': 'car', 'description': 'Dark-colored car parked along the curb on the left side of the road.', 'position': 'upper left of the image next to the curb', 'orientation': 'parked parallel to the curb, facing away from the camera'}, {'id': 'obj_4', 'class': 'bollards', 'description': 'Short rectangular concrete posts at the edge of the sidewalk near the right side of the frame.', 'position': 'upper right side along edge of sidewalk', 'orientation': 'vertical'}, {'id': 'obj_5', 'class': 'curb', 'description': 'Raised curb with red and white paint separating sidewalk from the roadway.', 'position': 'runs along the left edge of the sidewalk', 'orientation': 'bottom-left to upper-left along sidewalk edge'}]</t>
  </si>
  <si>
    <t>[{'id': 'obj_1', 'class': 'roadway', 'description': 'Curving multi-lane road on the left side of the image with painted curb and lane markings.', 'position': 'left side, extending from foreground to background', 'orientation': 'curving away toward the upper center background'}, {'id': 'obj_2', 'class': 'sidewalk', 'description': 'Wide brick-paved sidewalk running parallel to the road.', 'position': 'center and right side, from bottom foreground to upper middle background', 'orientation': 'parallel to roadway, receding into distance'}, {'id': 'obj_3', 'class': 'car', 'description': 'Light-colored car with illuminated rear lights driving away along the road.', 'position': 'left middle, on roadway', 'orientation': 'moving away from camera along road direction'}, {'id': 'obj_4', 'class': 'car', 'description': 'Another car ahead of obj_3 with rear lights visible in the distance.', 'position': 'left background on roadway', 'orientation': 'moving away from camera along road direction'}, {'id': 'obj_5', 'class': 'streetlight', 'description': 'Series of tall streetlights illuminating road and sidewalk.', 'position': 'left and center background along roadway', 'orientation': 'vertical poles aligned along road'}, {'id': 'obj_6', 'class': 'vegetation', 'description': 'Trees and bushes lining the right side of the sidewalk and some on the left near the road.', 'position': 'predominantly right side and background', 'orientation': 'forming a vegetated strip between sidewalk and darker background area'}, {'id': 'obj_7', 'class': 'fire_hydrant', 'description': 'Red fire hydrant installed on the edge of the sidewalk near vegetation.', 'position': 'right side, mid-foreground', 'orientation': 'vertical, close to curb of planted area'}, {'id': 'obj_8', 'class': 'curb', 'description': 'Raised curb separating the road from the sidewalk with red-white/cream markings.', 'position': 'between roadway and sidewalk, extending along left-central side', 'orientation': 'parallel to road and sidewalk'}]</t>
  </si>
  <si>
    <t>[{'id': 'obj_1', 'class': 'sidewalk', 'description': 'Paved brick pedestrian walkway extending straight into the distance', 'position': 'center foreground to background', 'orientation': 'aligned longitudinally away from the camera'}, {'id': 'obj_2', 'class': 'road', 'description': 'Vehicle lane separated from the sidewalk by a planted strip', 'position': 'left side of scene', 'orientation': 'parallel to the sidewalk'}, {'id': 'obj_3', 'class': 'trees', 'description': 'Row of mature trees lining both sides of the sidewalk creating canopy and shadows', 'position': 'left and right edges along the sidewalk', 'orientation': 'vertical trunks, branches overhanging sidewalk'}, {'id': 'obj_4', 'class': 'vegetation', 'description': 'Low shrubs and plants in planted strip between road and sidewalk and on right-side bed', 'position': 'left and right along sidewalk edges', 'orientation': 'ground-level plantings'}, {'id': 'obj_5', 'class': 'traffic_lights', 'description': 'Red and green traffic lights visible in the distance over the roadway', 'position': 'background center-left', 'orientation': 'facing along the road'}, {'id': 'obj_6', 'class': 'street_lighting', 'description': 'Illumination from off-frame or subtle fixtures lighting the sidewalk and trees', 'position': 'throughout scene', 'orientation': 'casting shadows of trees onto the sidewalk'}]</t>
  </si>
  <si>
    <t>[{'id': 'obj_1', 'class': 'sidewalk', 'description': 'Wide paved pedestrian sidewalk extending from foreground to background along the right side of the image', 'position': 'dominant central and right area of scene', 'orientation': 'longitudinal, receding into distance'}, {'id': 'obj_2', 'class': 'road', 'description': 'Single carriageway road running parallel to the sidewalk on the left side, with light traffic markings and barriers', 'position': 'left side of scene parallel to sidewalk', 'orientation': 'longitudinal, receding into distance'}, {'id': 'obj_3', 'class': 'streetlight', 'description': 'Modern Y-shaped streetlights illuminating sidewalk and road', 'position': 'center line between sidewalk and road, repeating into distance', 'orientation': 'upright'}, {'id': 'obj_4', 'class': 'fence', 'description': 'Tall metal fence on top of a stone wall along the right edge, bordering the sidewalk', 'position': 'right side of scene', 'orientation': 'longitudinal along sidewalk'}, {'id': 'obj_5', 'class': 'vegetation', 'description': 'Trees along the left near the road and shrubs in a planter strip between sidewalk and wall on the right', 'position': 'upper left canopy over road; right edge planter strip', 'orientation': 'vertical growth'}, {'id': 'obj_6', 'class': 'traffic_barrier', 'description': 'Low white metal barriers separating the road from adjacent areas', 'position': 'left side along road edge', 'orientation': 'longitudinal along road'}, {'id': 'obj_7', 'class': 'building', 'description': 'Distant multi-story urban buildings visible in background beyond trees', 'position': 'background center-left', 'orientation': 'upright'}]</t>
  </si>
  <si>
    <t>[{'id': 'obj_1', 'class': 'sidewalk', 'description': 'Wide paved pedestrian path extending from foreground center toward background center', 'position': 'center of scene, running longitudinally', 'orientation': 'aligned with image depth, leading away from camera'}, {'id': 'obj_2', 'class': 'paved_path', 'description': 'Parallel brick-paved strip with manhole cover on the right side of the main sidewalk', 'position': 'right side of scene, running from bottom right to mid-right background', 'orientation': 'parallel to sidewalk, along image depth'}, {'id': 'obj_3', 'class': 'road', 'description': 'Vehicle roadway with lane markings and traffic visible on the left, separated from sidewalk by planted strip', 'position': 'left side of scene extending into background', 'orientation': 'parallel to sidewalk, along image depth'}, {'id': 'obj_4', 'class': 'car', 'description': 'Parked dark-colored car at curb along roadway', 'position': 'left foreground', 'orientation': 'parked facing away from camera along direction of road'}, {'id': 'obj_5', 'class': 'cars', 'description': 'Several moving or distant vehicles with headlights/taillights visible along the road', 'position': 'left midground and background', 'orientation': 'aligned with road direction'}, {'id': 'obj_6', 'class': 'traffic_lights', 'description': 'Set of illuminated green traffic signals over the roadway', 'position': 'left mid-background', 'orientation': 'facing approaching road traffic'}, {'id': 'obj_7', 'class': 'street_lights', 'description': 'Multiple street lamps illuminating the sidewalk and roadway', 'position': 'left and right sides along path into background', 'orientation': 'vertical poles with lights overhanging the paths'}, {'id': 'obj_8', 'class': 'trees', 'description': 'Street trees lining both sides of the sidewalk and median', 'position': 'both sides, especially upper left and center', 'orientation': 'upright, overhanging branches above sidewalk'}, {'id': 'obj_9', 'class': 'vegetation', 'description': 'Shrubs and low plantings forming a buffer between roadway and sidewalk and along right edge', 'position': 'left and right sides of the sidewalk', 'orientation': 'linear beds parallel to sidewalk'}, {'id': 'obj_10', 'class': 'bench', 'description': 'Light-colored bench along right side of sidewalk', 'position': 'right midground', 'orientation': 'facing the sidewalk'}, {'id': 'obj_11', 'class': 'manhole_cover', 'description': 'Circular manhole cover embedded within brick-paved strip', 'position': 'right foreground', 'orientation': 'horizontal on ground'}, {'id': 'obj_12', 'class': 'buildings', 'description': 'Residential or mixed-use buildings in the background and right side, partially obscured by trees', 'position': 'right midground and distant background center-right', 'orientation': 'facing towards street'}]</t>
  </si>
  <si>
    <t>[{'id': 'obj_1', 'class': 'sidewalk', 'description': 'Paved brick sidewalk running from foreground to background along the right side of the street', 'position': 'occupies most of lower and central part of image', 'orientation': 'aligned roughly from bottom toward upper center'}, {'id': 'obj_2', 'class': 'cardboard_box', 'description': 'Large upright cardboard box placed on the right edge of the sidewalk against foliage/low wall', 'position': 'right center of image on pedestrian path', 'orientation': 'front face toward camera'}, {'id': 'obj_3', 'class': 'cardboard_box', 'description': 'Large flat cardboard piece or box leaning diagonally against foliage/low wall behind the upright box', 'position': 'right center-background on pedestrian path', 'orientation': 'leaning from sidewalk up toward right side'}, {'id': 'obj_4', 'class': 'vegetation', 'description': 'Dense green bush or hedge forming a boundary along right side of sidewalk', 'position': 'right side of image', 'orientation': 'vertical wall of foliage'}, {'id': 'obj_5', 'class': 'car', 'description': 'White car stopped or parked on street adjacent to sidewalk near the intersection', 'position': 'upper center-left of image beside curb', 'orientation': 'side view, facing left or right along roadway'}, {'id': 'obj_6', 'class': 'car', 'description': 'Second white car partially visible behind first, parked or queued on roadway', 'position': 'upper left edge of image', 'orientation': 'side view'}, {'id': 'obj_7', 'class': 'street_pole', 'description': 'Striped black-and-white pole at edge of sidewalk by intersection', 'position': 'upper center-left near curb', 'orientation': 'vertical'}, {'id': 'obj_8', 'class': 'manhole_cover', 'description': 'Circular manhole or utility cover embedded in sidewalk surface', 'position': 'left-center foreground on sidewalk', 'orientation': 'horizontal'}]</t>
  </si>
  <si>
    <t>[{'id': 'obj_1', 'class': 'sidewalk', 'description': 'Paved brick sidewalk running from bottom center toward the upper part of the frame', 'position': 'foreground and midground center-right', 'orientation': 'extends longitudinally along the road'}, {'id': 'obj_2', 'class': 'roadway', 'description': 'Asphalt road adjacent to the sidewalk with white painted markings near the curb', 'position': 'left edge of the frame', 'orientation': 'parallel to the sidewalk'}, {'id': 'obj_3', 'class': 'car', 'description': 'Dark-colored car parked along the curb near the top left of the image', 'position': 'upper left along roadside', 'orientation': 'aligned parallel to curb, facing away from camera'}, {'id': 'obj_4', 'class': 'curb_marking', 'description': 'Red-and-white painted curb line separating sidewalk from road', 'position': 'left side of sidewalk running from bottom to upper center', 'orientation': 'parallel to roadway'}, {'id': 'obj_5', 'class': 'utility_pole_or_box', 'description': 'Vertical utility structure on the sidewalk near the top right', 'position': 'upper right of frame at edge of sidewalk', 'orientation': 'upright, adjacent to building or wall'}]</t>
  </si>
  <si>
    <t>[{'id': 'obj_1', 'class': 'sidewalk', 'description': 'Brick-paved sidewalk running from bottom center toward top center of the frame', 'position': 'majority of right and central portion of scene', 'orientation': 'aligned parallel to roadway'}, {'id': 'obj_2', 'class': 'road', 'description': 'Asphalt roadway with painted white markings adjacent to the sidewalk', 'position': 'left edge of frame', 'orientation': 'parallel to sidewalk'}, {'id': 'obj_3', 'class': 'car', 'description': 'Dark vehicle parked along curb next to sidewalk', 'position': 'upper left of frame at curbside', 'orientation': 'aligned with direction of road'}, {'id': 'obj_4', 'class': 'street_furniture', 'description': 'Rectangular utility or electrical boxes on the sidewalk edge', 'position': 'mid-right of frame near curb line', 'orientation': 'perpendicular to walking direction'}, {'id': 'obj_5', 'class': 'tree', 'description': 'Tree trunk emerging from sidewalk area near parked car', 'position': 'upper center-left near curb', 'orientation': 'vertical'}, {'id': 'obj_6', 'class': 'pedestrian', 'description': 'Person standing or walking further up the sidewalk near the tree and parked car', 'position': 'upper center of frame', 'orientation': 'roughly facing away from camera along sidewalk'}, {'id': 'obj_7', 'class': 'pavement_defect', 'description': 'Irregular, darker patches and possible uneven blocks on the brick sidewalk surface', 'position': 'central area of sidewalk in lower half of image', 'orientation': 'spread across walking path'}]</t>
  </si>
  <si>
    <t>[{'id': 'obj_1', 'class': 'sidewalk', 'description': 'Paved pedestrian sidewalk running from bottom center toward upper center of the image, bordered by a wall with vegetation on the left and parked cars on the right.', 'position': 'extends from foreground bottom center to mid and upper center', 'orientation': 'aligned roughly front-to-back in image perspective'}, {'id': 'obj_2', 'class': 'car', 'description': 'White car parked on the right side of the sidewalk, very close to or on the pedestrian path', 'position': 'right side, mid to upper portion of image', 'orientation': 'parked parallel to sidewalk, facing away from camera'}, {'id': 'obj_3', 'class': 'debris', 'description': 'Large pieces of discarded furniture or bulky items (including what looks like a mattress and other large objects) lying across the sidewalk', 'position': 'center of the image behind the right car, spanning full width of sidewalk', 'orientation': 'piled horizontally across path'}, {'id': 'obj_4', 'class': 'wall', 'description': 'Low masonry wall with dense vegetation on top, forming a rigid boundary on the left side of the sidewalk', 'position': 'left edge of image from foreground to background', 'orientation': 'parallel to sidewalk'}, {'id': 'obj_5', 'class': 'cars', 'description': 'Multiple additional cars parked on the street beyond the obstructed sidewalk', 'position': 'upper center and upper right background', 'orientation': 'various orientations along the street'}, {'id': 'obj_6', 'class': 'street', 'description': 'Vehicle roadway adjacent to the sidewalk with parked and moving vehicles', 'position': 'upper half of image, mainly right and center background', 'orientation': 'aligned roughly left-right'}]</t>
  </si>
  <si>
    <t>[{'id': 'obj_1', 'class': 'sidewalk', 'description': 'Wide brick-paved sidewalk extending from foreground to background', 'position': 'occupies most of the lower and central part of the image, parallel to the street on the right', 'orientation': 'aligned with street, receding into distance'}, {'id': 'obj_2', 'class': 'road', 'description': 'Multi-lane roadway with visible lane markings and some vehicles in the distance', 'position': 'right side of image, parallel to sidewalk', 'orientation': 'receding into background'}, {'id': 'obj_3', 'class': 'tree', 'description': 'Tree with trunk emerging from sidewalk near curb', 'position': 'right side of sidewalk near street, mid-right foreground', 'orientation': 'vertical trunk, canopy above casting shadows'}, {'id': 'obj_4', 'class': 'trees', 'description': 'Row of additional trees lining the sidewalk and street further back', 'position': 'both left and right sides along the length of the sidewalk', 'orientation': 'vertical trunks, forming overhead canopy'}, {'id': 'obj_5', 'class': 'railings', 'description': 'Low metal railings separating planted area from sidewalk', 'position': 'left side of sidewalk midground', 'orientation': 'parallel to sidewalk'}, {'id': 'obj_6', 'class': 'vegetation', 'description': 'Bushes and small plants along wall beside sidewalk', 'position': 'left side, behind railings', 'orientation': 'linear strip along wall'}, {'id': 'obj_7', 'class': 'street_lighting', 'description': 'Streetlights illuminating sidewalk and road', 'position': 'mainly right side and background', 'orientation': 'vertical poles'}, {'id': 'obj_8', 'class': 'car', 'description': 'Cars driving on roadway in the distance', 'position': 'right background on road', 'orientation': 'aligned with direction of traffic'}, {'id': 'obj_9', 'class': 'building', 'description': 'Urban buildings and residential structures along and beyond the road', 'position': 'right background and far background', 'orientation': 'various, facing street'}]</t>
  </si>
  <si>
    <t>[{'id': 'obj_1', 'class': 'sidewalk', 'description': 'Wide brick-paved sidewalk extending from foreground center to background center along the left side of the street.', 'position': 'foreground to background, center-left of image', 'orientation': 'aligned with street direction, receding into distance'}, {'id': 'obj_2', 'class': 'parked_car', 'description': 'Silver car parked on the right side of the street, closest to the camera.', 'position': 'right foreground', 'orientation': 'facing away from camera along the street'}, {'id': 'obj_3', 'class': 'parked_car', 'description': 'Light-colored SUV parked further down the street on the right side.', 'position': 'right midground', 'orientation': 'facing away from camera along the street'}, {'id': 'obj_4', 'class': 'parked_car', 'description': 'Additional parked vehicles visible further along the right curb.', 'position': 'right background', 'orientation': 'aligned with street'}, {'id': 'obj_5', 'class': 'building_wall', 'description': 'Light-colored masonry wall with metal doors or panels along the left edge of the sidewalk.', 'position': 'left side from foreground to midground', 'orientation': 'parallel to sidewalk'}, {'id': 'obj_6', 'class': 'street_light', 'description': 'Streetlight pole extending above the trees on the left; additional lights visible farther down the street.', 'position': 'left midground and distant background', 'orientation': 'vertical'}, {'id': 'obj_7', 'class': 'tree', 'description': 'Large leafy trees lining the left side of the sidewalk and right side of the street; includes a visible palm tree.', 'position': 'left and right midground/background', 'orientation': 'upright, forming canopy over street'}, {'id': 'obj_8', 'class': 'curb', 'description': 'Curb separating sidewalk from street, with a painted red-and-white section along the right edge indicating restricted parking or stopping.', 'position': 'right edge of sidewalk and street', 'orientation': 'parallel to street'}, {'id': 'obj_9', 'class': 'roadway', 'description': 'Asphalt street running parallel to the sidewalk with parked vehicles along the right curb.', 'position': 'right side, from foreground to background', 'orientation': 'longitudinal through scene'}]</t>
  </si>
  <si>
    <t>[{'id': 'obj_1', 'class': 'pedestrian', 'description': 'Adult person wearing white top and dark pants, carrying a turquoise bag, walking away from the camera along the sidewalk center-right.', 'position': 'center of sidewalk, mid-to-upper part of frame', 'orientation': 'back facing camera, moving forward along sidewalk'}, {'id': 'obj_2', 'class': 'sidewalk', 'description': 'Paved brick sidewalk extending from bottom foreground to background, bordered by a stone wall on the right and trees/parked cars on the left.', 'position': 'covers most of lower and central frame', 'orientation': 'runs vertically from bottom to top of image'}, {'id': 'obj_3', 'class': 'parked_cars', 'description': 'Row of cars parked parallel along the curb adjacent to the sidewalk on the left side.', 'position': 'left side of frame, mid and background', 'orientation': 'aligned parallel to street'}, {'id': 'obj_4', 'class': 'stone_wall', 'description': 'Low stone wall forming the right boundary of the sidewalk, with vegetation and residential buildings behind it.', 'position': 'right side of frame from foreground to background', 'orientation': 'runs vertically along right edge'}, {'id': 'obj_5', 'class': 'street_trees_and_lighting', 'description': 'Vertical poles and tree trunks along the curb area, with some street lighting visible indicating low-light conditions.', 'position': 'left and upper parts of frame', 'orientation': 'vertical elements'}]</t>
  </si>
  <si>
    <t>[{'id': 'obj_1', 'class': 'sidewalk', 'description': 'Paved pedestrian walkway made of rectangular dark tiles extending into the background', 'position': 'covers most of the frame from foreground bottom to background top', 'orientation': 'aligned roughly vertically with the image'}, {'id': 'obj_2', 'class': 'tree_pit', 'description': 'Rectangular dirt area bordered by concrete edging, likely for a tree or plant', 'position': 'left edge of the image in the lower half', 'orientation': 'long edge parallel to image left border'}, {'id': 'obj_3', 'class': 'damaged_paving_tiles', 'description': 'Several sidewalk tiles lifted, misaligned, and separated, creating cracks and level differences', 'position': 'near the center-bottom of the image, adjacent to the tree pit', 'orientation': 'crack and lifted tiles forming an X-like pattern across joints'}, {'id': 'obj_4', 'class': 'lighting_shadow', 'description': 'Strong shadow cast across the uneven tiles, likely from a nearby light source and person or object', 'position': 'diagonal area from lower center to mid-right of the image', 'orientation': 'triangular shadow pointing toward the bottom edge'}, {'id': 'obj_5', 'class': 'leaf_debris', 'description': 'Small leaf and minor debris on the sidewalk surface', 'position': 'near bottom-right quadrant of the image', 'orientation': 'lying flat on pavement'}]</t>
  </si>
  <si>
    <t>[{'id': 'obj_1', 'class': 'pedestrian', 'description': 'Adult person in white top and dark pants walking away from the camera on the sidewalk carrying a turquoise bag.', 'position': 'central foreground on paved sidewalk', 'orientation': 'back to camera, walking forward along sidewalk'}, {'id': 'obj_2', 'class': 'car', 'description': 'Parked car along the curb on the left side of the sidewalk.', 'position': 'left side, partially visible parallel to sidewalk', 'orientation': 'aligned parallel to road'}, {'id': 'obj_3', 'class': 'sidewalk', 'description': 'Paved pedestrian walkway with rectangular tiles extending forward.', 'position': 'occupies lower and central part of scene', 'orientation': 'runs from bottom toward top center'}, {'id': 'obj_4', 'class': 'wall', 'description': 'Low stone retaining wall bordering the right edge of the sidewalk.', 'position': 'right side of scene along sidewalk', 'orientation': 'parallel to pedestrian path'}, {'id': 'obj_5', 'class': 'building', 'description': 'Multi-story residential or mixed-use buildings adjacent to the sidewalk.', 'position': 'right and background', 'orientation': 'facing the street'}, {'id': 'obj_6', 'class': 'street_lighting', 'description': 'Artificial lighting illuminating the area, likely from streetlights or building lights.', 'position': 'upper background, off-frame sources', 'orientation': 'lighting directed onto sidewalk and street'}]</t>
  </si>
  <si>
    <t>[{'id': 'obj_1', 'class': 'sidewalk', 'description': 'Brick-paved pedestrian sidewalk in foreground and midground', 'position': 'foreground and midground across bottom of image', 'orientation': 'runs horizontally along street'}, {'id': 'obj_2', 'class': 'roadway', 'description': 'Asphalt street with painted crosswalk and curb', 'position': 'left midground', 'orientation': 'crosses image from left to right behind sidewalk'}, {'id': 'obj_3', 'class': 'building', 'description': 'Low-rise urban building with parking entrance and lit interior', 'position': 'left background', 'orientation': 'faces street'}, {'id': 'obj_4', 'class': 'utility_pole', 'description': 'Metal utility/telecom pole with electrical boxes and warning signs', 'position': 'center of image', 'orientation': 'vertical along left-middle edge of debris pile'}, {'id': 'obj_5', 'class': 'electrical_equipment', 'description': "Mounted electrical/communication boxes and cables on the pole, with 'Danger of Death' warning signs", 'position': 'upper center of image', 'orientation': 'attached to utility pole'}, {'id': 'obj_6', 'class': 'construction_debris', 'description': 'Large vertical boards and panels leaning together, forming a tall unstable pile on the sidewalk', 'position': 'center-right foreground', 'orientation': 'leaning diagonally against each other and nearby structures'}, {'id': 'obj_7', 'class': 'trash_bag', 'description': 'Large yellow plastic bag filled with waste beside the boards', 'position': 'left foreground, next to debris pile', 'orientation': 'upright bag'}, {'id': 'obj_8', 'class': 'vegetation_debris', 'description': 'Cut branches or foliage lying near the pole on the sidewalk', 'position': 'midground slightly left of center', 'orientation': 'low on the ground'}, {'id': 'obj_9', 'class': 'street_lighting', 'description': 'Street lamps illuminating the area', 'position': 'upper left background', 'orientation': 'mounted on tall poles'}]</t>
  </si>
  <si>
    <t>[{'id': 'obj_1', 'class': 'sidewalk', 'description': 'Brick-paved sidewalk running from bottom foreground to upper center-right of the frame', 'position': 'occupies most of the right and central part of the scene', 'orientation': 'aligned roughly along the vertical axis of the image'}, {'id': 'obj_2', 'class': 'roadway', 'description': 'Asphalt street with painted white edge line running along the left side of the image', 'position': 'left side adjacent to the curb', 'orientation': 'parallel to the sidewalk'}, {'id': 'obj_3', 'class': 'car', 'description': 'Dark vehicle parked at the curb near the top left of the frame', 'position': 'upper left, adjacent to curb', 'orientation': 'aligned with direction of the street'}, {'id': 'obj_4', 'class': 'curb', 'description': 'Raised curb with red-and-white paint separating sidewalk from road', 'position': 'runs along left edge of sidewalk', 'orientation': 'longitudinal along street'}, {'id': 'obj_5', 'class': 'bollard', 'description': 'Rectangular concrete post at edge of sidewalk near upper right', 'position': 'upper right, bordering the walking path', 'orientation': 'vertical post'}, {'id': 'obj_6', 'class': 'pedestrian', 'description': 'Person standing or walking near the parked car toward the back of the scene', 'position': 'upper center-left near car and curb', 'orientation': 'facing generally toward the camera'}]</t>
  </si>
  <si>
    <t>[{'id': 'obj_1', 'class': 'sidewalk', 'description': 'Paved brick sidewalk occupying the lower and central part of the image, running along the street edge.', 'position': 'foreground and midground, spanning bottom to center of image', 'orientation': 'parallel to street'}, {'id': 'obj_2', 'class': 'cardboard_box', 'description': 'Large upright cardboard box leaning slightly against hedge and low wall, partially encroaching into walking path.', 'position': 'right side of image, midground near hedge', 'orientation': 'vertical, broad face toward camera'}, {'id': 'obj_3', 'class': 'cardboard_box', 'description': 'Second, larger flattened cardboard box leaning from hedge toward sidewalk, extending closer to center of walkway.', 'position': 'right-center of image, midground, between hedge and sidewalk', 'orientation': 'leaning diagonally from right to left'}, {'id': 'obj_4', 'class': 'hedge', 'description': 'Dense green hedge forming a boundary between sidewalk and adjacent property.', 'position': 'right edge of image, running from mid to upper section', 'orientation': 'parallel to sidewalk'}, {'id': 'obj_5', 'class': 'car', 'description': 'White car parked on the street adjacent to the sidewalk, mostly visible in upper center-right.', 'position': 'background, upper center-right', 'orientation': 'aligned with curb'}, {'id': 'obj_6', 'class': 'car', 'description': 'Second car partially visible on the left side of the street.', 'position': 'background, upper left', 'orientation': 'aligned with curb'}, {'id': 'obj_7', 'class': 'pole', 'description': 'Black-and-white striped pole near curb and intersection.', 'position': 'upper center-left near curb line', 'orientation': 'vertical'}, {'id': 'obj_8', 'class': 'roadway', 'description': 'Street area with curb and crosswalk or corner markings adjacent to the sidewalk.', 'position': 'upper left and center of image', 'orientation': 'perpendicular to camera view'}]</t>
  </si>
  <si>
    <t>[{'id': 'obj_1', 'class': 'car', 'description': 'White SUV parked directly on the paved sidewalk in the foreground, facing toward the camera.', 'position': 'center foreground on sidewalk, parallel to roadway', 'orientation': 'front of vehicle facing camera, aligned roughly with street direction'}, {'id': 'obj_2', 'class': 'car', 'description': 'Parked cars along the curbside of the roadway on the right side of the image.', 'position': 'midground right along street curb', 'orientation': 'parked parallel to curb, facing away from camera'}, {'id': 'obj_3', 'class': 'roadway', 'description': 'Multi-lane urban street running from foreground right to background.', 'position': 'right side of image, extending depth-wise', 'orientation': 'longitudinal, from bottom-right toward top-center'}, {'id': 'obj_4', 'class': 'sidewalk', 'description': 'Paved sidewalk area where the foreground SUV is parked; intended pedestrian pathway.', 'position': 'foreground and midground center-left beneath SUV', 'orientation': 'parallel to roadway'}, {'id': 'obj_5', 'class': 'building', 'description': 'Mid-rise residential apartment buildings with balconies and lit windows.', 'position': 'background right and center', 'orientation': 'front facades facing street'}, {'id': 'obj_6', 'class': 'street_lighting', 'description': 'Tall streetlights illuminating the road and sidewalk.', 'position': 'left side and upper-left of image along street', 'orientation': 'vertical poles with lights facing downward'}]</t>
  </si>
  <si>
    <t>[{'id': 'obj_1', 'class': 'sidewalk', 'description': 'Brick-paved sidewalk extending from bottom center foreground to upper center background of the frame.', 'position': 'central area of the scene, running longitudinally', 'orientation': 'aligned roughly with camera viewing direction'}, {'id': 'obj_2', 'class': 'curb', 'description': 'Red-and-white painted curb edge separating sidewalk from the street on the left side.', 'position': 'left edge of the sidewalk, extending from lower left to upper left', 'orientation': 'parallel to sidewalk'}, {'id': 'obj_3', 'class': 'car', 'description': 'Dark-colored parked car partially visible on the street adjacent to the curb.', 'position': 'upper left quadrant, parked along curb', 'orientation': 'roughly parallel to curb and sidewalk'}, {'id': 'obj_4', 'class': 'tree', 'description': 'Tree trunk emerging from a tree pit beside the curb.', 'position': 'upper left-central area, between sidewalk and street', 'orientation': 'vertical trunk'}, {'id': 'obj_5', 'class': 'streetlight_or_building_lighting', 'description': 'Warm artificial lighting illuminating the sidewalk and street area.', 'position': 'out of frame, casting light from above', 'orientation': 'overhead illumination'}, {'id': 'obj_6', 'class': 'stain_or_spill', 'description': 'Dark patches and stains on the sidewalk surface.', 'position': 'mid to upper center of the sidewalk', 'orientation': 'flat on pavement'}]</t>
  </si>
  <si>
    <t>[{'id': 'obj_1', 'class': 'crosswalk', 'description': 'Wide marked zebra crosswalk extending from bottom foreground toward the middle of the image', 'position': 'center foreground to mid-scene across the roadway', 'orientation': 'horizontal stripes perpendicular to traffic flow'}, {'id': 'obj_2', 'class': 'pedestrian', 'description': 'Person in dark top and light pants crossing near the left side of the crosswalk', 'position': 'left-center of crosswalk', 'orientation': 'facing slightly right, mid-step'}, {'id': 'obj_3', 'class': 'pedestrian', 'description': 'Person in dark clothing carrying a bag crossing closer to the camera on the right side of the crosswalk', 'position': 'center-right of crosswalk', 'orientation': 'walking toward the camera'}, {'id': 'obj_4', 'class': 'van', 'description': 'White van stopped at the far side of the intersection to the right of the crosswalk', 'position': 'right mid-ground at stop line', 'orientation': 'facing toward the camera, aligned with roadway'}, {'id': 'obj_5', 'class': 'traffic_light', 'description': 'Vehicle traffic light showing green', 'position': 'upper-right near van', 'orientation': 'mounted on vertical pole'}, {'id': 'obj_6', 'class': 'traffic_light', 'description': 'Another green traffic light on the left side of the intersection', 'position': 'upper-left mid-ground near trees', 'orientation': 'mounted on vertical pole'}, {'id': 'obj_7', 'class': 'roadway', 'description': 'Multi-lane paved urban roadway at night', 'position': 'entire lower and middle parts of scene', 'orientation': 'extends horizontally across frame'}, {'id': 'obj_8', 'class': 'sidewalk', 'description': 'Sidewalk and curb area beyond the crosswalk with some vegetation', 'position': 'far side of the crosswalk behind pedestrians', 'orientation': 'parallel to roadway'}, {'id': 'obj_9', 'class': 'street_light', 'description': 'Tall green streetlight pole near van', 'position': 'right side mid-ground', 'orientation': 'vertical'}, {'id': 'obj_10', 'class': 'trees', 'description': 'Trees and foliage lining the far side of the road', 'position': 'background across width of image', 'orientation': 'upright'}]</t>
  </si>
  <si>
    <t>[{'id': 'obj_1', 'class': 'sidewalk', 'description': 'Brick-paved sidewalk running from the foreground bottom-center toward the upper-right side of the image along a stone retaining wall', 'position': 'right side of scene, parallel to the road', 'orientation': 'extends from bottom-center to upper-right'}, {'id': 'obj_2', 'class': 'road', 'description': 'Paved roadway adjacent to the sidewalk with painted markings and a storm drain near the curb', 'position': 'left and center-left of the image, parallel to the sidewalk', 'orientation': 'extends from bottom-left toward upper-center'}, {'id': 'obj_3', 'class': 'car', 'description': 'White hatchback car on the road with brake lights illuminated, facing away from the camera near an intersection', 'position': 'upper-center of the image, partly overlapping road and intersection area', 'orientation': 'oriented diagonally, front toward upper-right'}, {'id': 'obj_4', 'class': 'car', 'description': 'Light-colored car ahead of the hatchback, closer to the intersection', 'position': 'upper-right of the image near road bend or intersection', 'orientation': 'facing to the right'}, {'id': 'obj_5', 'class': 'van', 'description': 'White van parked or stopped on the opposite side of the road near the intersection', 'position': 'upper-left of the image', 'orientation': 'side facing the camera, aligned with road'}, {'id': 'obj_6', 'class': 'storm_drain', 'description': 'Rectangular metal storm drain grate set into the road next to the curb', 'position': 'left-center of the image near the curb line', 'orientation': 'aligned with curb'}, {'id': 'obj_7', 'class': 'retaining_wall', 'description': 'Low stone retaining wall separating sidewalk from vegetation or raised area', 'position': 'right edge of the image, parallel to sidewalk', 'orientation': 'runs from mid-right to upper-right'}, {'id': 'obj_8', 'class': 'vegetation', 'description': 'Bushes or hedges above the retaining wall along the sidewalk', 'position': 'upper-right area above the wall', 'orientation': 'linear along wall'}, {'id': 'obj_9', 'class': 'building', 'description': 'Residential or mixed-use buildings in the background near the intersection', 'position': 'upper-center and upper-left background', 'orientation': 'façades facing toward the street'}]</t>
  </si>
  <si>
    <t>[{'id': 'obj_1', 'class': 'sidewalk', 'description': 'Brick-paved sidewalk in the foreground extending along the right side of the road', 'position': 'foreground and right side of scene', 'orientation': 'parallel to road'}, {'id': 'obj_2', 'class': 'road', 'description': 'Two-lane urban road with a pedestrian crosswalk', 'position': 'middle and left side of scene', 'orientation': 'horizontal across image'}, {'id': 'obj_3', 'class': 'car', 'description': 'Blue car driving away from camera near crosswalk', 'position': 'mid-right of road', 'orientation': 'facing away from camera'}, {'id': 'obj_4', 'class': 'car', 'description': 'Yellow car on opposite side of the road, parked or moving slowly', 'position': 'mid-left of scene', 'orientation': 'roughly facing right'}, {'id': 'obj_5', 'class': 'parked_cars', 'description': 'Several dark-colored parked cars along far roadside', 'position': 'background left', 'orientation': 'aligned with road'}, {'id': 'obj_6', 'class': 'traffic_sign', 'description': 'No-parking or restriction sign on pole near curb', 'position': 'right side near curb', 'orientation': 'facing road'}, {'id': 'obj_7', 'class': 'vegetation_debris', 'description': 'Large pile of cut or uprooted branches and leaves on the sidewalk near curb', 'position': 'foreground right, along curb line', 'orientation': 'sprawled along walking direction'}, {'id': 'obj_8', 'class': 'fallen_planter', 'description': 'White plastic planter tipped over with soil spilled onto sidewalk', 'position': 'foreground center-right near vegetation debris', 'orientation': 'on its side'}, {'id': 'obj_9', 'class': 'curb', 'description': 'Raised curb separating sidewalk from road', 'position': 'lower center running horizontally', 'orientation': 'parallel to road'}]</t>
  </si>
  <si>
    <t>[{'id': 'obj_1', 'class': 'sidewalk', 'description': 'Wide paved pedestrian sidewalk running from foreground to background center of the image.', 'position': 'center foreground extending to mid-background', 'orientation': 'aligned roughly away from the camera toward the background intersection'}, {'id': 'obj_2', 'class': 'road', 'description': 'Multi-lane roadway with vehicle traffic parallel to the sidewalk, visible on the left side.', 'position': 'left side midground to background', 'orientation': 'running diagonally from bottom-left toward upper-center background'}, {'id': 'obj_3', 'class': 'cars', 'description': 'Several cars with headlights and taillights traveling or stopped on the roadway.', 'position': 'left midground and background along the road', 'orientation': 'oriented along the road direction'}, {'id': 'obj_4', 'class': 'street_lights', 'description': 'Tall street lamps illuminating the road and sidewalk.', 'position': 'left midground along road; one near right background by sidewalk', 'orientation': 'vertical poles'}, {'id': 'obj_5', 'class': 'vegetation', 'description': 'Bushes and landscaped plants bordering the sidewalk on both sides, including a line of low plants with metal rail on the left and dense hedge on the right.', 'position': 'left and right edges of the sidewalk from foreground to background', 'orientation': 'linear borders along the path'}, {'id': 'obj_6', 'class': 'traffic_sign', 'description': 'Yield sign facing road users, located at the junction where the sidewalk reaches the crosswalk.', 'position': 'center-right background near intersection', 'orientation': 'facing toward incoming road traffic'}, {'id': 'obj_7', 'class': 'crosswalk', 'description': 'Painted zebra crosswalk across the road at the end of the sidewalk.', 'position': 'background center where sidewalk meets road', 'orientation': 'perpendicular to direction of approaching sidewalk'}, {'id': 'obj_8', 'class': 'tree', 'description': 'Pruned tree with truncated branches near the right side of the sidewalk.', 'position': 'right midground beside hedge', 'orientation': 'vertical trunk; top cut flat'}, {'id': 'obj_9', 'class': 'guardrail', 'description': 'Low metal rail separating the left-side vegetation strip from the roadway.', 'position': 'left foreground to midground between sidewalk plants and road', 'orientation': 'parallel to the sidewalk'}]</t>
  </si>
  <si>
    <t>[{'id': 'obj_1', 'class': 'pedestrian', 'description': 'Adult person in white top and dark pants walking away from camera on sidewalk carrying a turquoise bag.', 'position': 'center of the sidewalk, mid-depth of the image', 'orientation': 'back facing camera, moving forward along sidewalk'}, {'id': 'obj_2', 'class': 'sidewalk', 'description': 'Paved pedestrian walkway running from bottom foreground into background.', 'position': 'occupies most of lower and central part of the scene', 'orientation': 'aligned roughly vertically from bottom to top of image'}, {'id': 'obj_3', 'class': 'parked_cars', 'description': 'Row of parked cars along curbside adjacent to the sidewalk.', 'position': 'left side of the image along the sidewalk edge', 'orientation': 'parallel to sidewalk'}, {'id': 'obj_4', 'class': 'wall', 'description': 'Low stone retaining wall separating sidewalk from slightly elevated landscaped or building area.', 'position': 'right side of the sidewalk, running from foreground to background', 'orientation': 'parallel to sidewalk'}, {'id': 'obj_5', 'class': 'street_lighting', 'description': 'Streetlights illuminating the area, indicating low-light or evening conditions.', 'position': 'upper left/background of the scene', 'orientation': 'vertical poles'}, {'id': 'obj_6', 'class': 'buildings', 'description': 'Multi-story residential or mixed-use buildings lining the street.', 'position': 'background and right side of image', 'orientation': 'framing the street and sidewalk'}]</t>
  </si>
  <si>
    <t>[{'id': 'obj_1', 'class': 'sidewalk', 'description': 'Paved brick sidewalk in the foreground extending toward the intersection', 'position': 'foreground and right side of scene', 'orientation': 'parallel to road, leading toward top center'}, {'id': 'obj_2', 'class': 'road', 'description': 'Roadway running from left foreground to intersection at center-top', 'position': 'left and center of scene', 'orientation': 'horizontal/diagonal across image'}, {'id': 'obj_3', 'class': 'car', 'description': 'White hatchback car with lights on, positioned on or encroaching onto the sidewalk at the corner', 'position': 'center of image near top, partly on sidewalk edge', 'orientation': 'facing away from camera toward intersection'}, {'id': 'obj_4', 'class': 'car', 'description': 'White car on road near intersection', 'position': 'upper left of image at junction', 'orientation': 'angled toward intersection'}, {'id': 'obj_5', 'class': 'van', 'description': 'White van parked or stopped along the road near intersection', 'position': 'upper left behind car', 'orientation': 'parallel to curb'}, {'id': 'obj_6', 'class': 'drain', 'description': 'Street drainage grate adjacent to curb on roadway', 'position': 'left side of image slightly above center vertically', 'orientation': 'embedded in roadway'}, {'id': 'obj_7', 'class': 'wall', 'description': 'Raised stone or brick retaining wall lining the right edge of the sidewalk', 'position': 'right side of image', 'orientation': 'runs from bottom right toward top right'}]</t>
  </si>
  <si>
    <t>[{'id': 'obj_1', 'class': 'sidewalk', 'description': 'Wide paved pedestrian path running from bottom center into the distance, slightly left of center', 'position': 'foreground to background center-left', 'orientation': 'aligned with image depth, leading away from camera'}, {'id': 'obj_2', 'class': 'pedestrian_path_pavers', 'description': 'Brick-paved strip with a manhole cover along the right side of the walking area', 'position': 'right side of scene, running front to back', 'orientation': 'parallel to the main sidewalk'}, {'id': 'obj_3', 'class': 'road', 'description': 'Vehicle roadway with moving traffic to the far left of the sidewalk, separated by curb and planting strip', 'position': 'left edge of scene, running front to back', 'orientation': 'parallel to sidewalk'}, {'id': 'obj_4', 'class': 'car', 'description': 'Dark-colored parked car next to curb on the roadway side', 'position': 'left mid-foreground near bottom left edge', 'orientation': 'facing away from camera along road'}, {'id': 'obj_5', 'class': 'cars', 'description': 'Several moving vehicles with light trails further down the road', 'position': 'left background', 'orientation': 'traveling along road away from and toward the camera'}, {'id': 'obj_6', 'class': 'streetlight', 'description': 'Multiple tall streetlights illuminating the sidewalk and road', 'position': 'one near upper left, another near upper center-right', 'orientation': 'vertical poles with lamps projecting downward'}, {'id': 'obj_7', 'class': 'traffic_light', 'description': 'Green traffic signals visible along the road', 'position': 'left mid-background', 'orientation': 'facing along the roadway'}, {'id': 'obj_8', 'class': 'trees', 'description': 'Row of medium to large trees lining the sidewalk and separating it from the road', 'position': 'left and central parts of scene, along curb line', 'orientation': 'vertical trunks with canopies overhanging path and road'}, {'id': 'obj_9', 'class': 'vegetation', 'description': 'Shrubs and low plants in planters and along the right-side residential edge', 'position': 'left planter strip and right edge of image', 'orientation': 'ground-level plantings'}, {'id': 'obj_10', 'class': 'bench', 'description': 'White bench along the right edge of the path', 'position': 'right mid-background', 'orientation': 'facing sidewalk'}, {'id': 'obj_11', 'class': 'building', 'description': 'Residential or low-rise building along right side partly obscured by vegetation', 'position': 'right mid- to background', 'orientation': 'front façade roughly parallel to sidewalk'}, {'id': 'obj_12', 'class': 'manhole_cover', 'description': 'Circular manhole cover embedded in the brick-paved strip', 'position': 'right foreground, just inside brick area', 'orientation': 'horizontal on ground'}, {'id': 'obj_13', 'class': 'curb', 'description': 'Raised curb separating the sidewalk from the road and planting strip', 'position': 'left of sidewalk running front to back', 'orientation': 'parallel to sidewalk and road'}]</t>
  </si>
  <si>
    <t>[{'id': 'obj_1', 'class': 'sidewalk', 'description': 'Wide paved sidewalk with brick pattern running from foreground toward background along the road', 'position': 'occupies most of the lower and central part of the image, parallel to the road on the left', 'orientation': 'extends from bottom center toward upper center'}, {'id': 'obj_2', 'class': 'road', 'description': 'Two-lane road adjacent to the sidewalk with some car lights visible in the distance', 'position': 'left side of the image, running from lower left toward upper left', 'orientation': 'parallel to the sidewalk'}, {'id': 'obj_3', 'class': 'bus_stop_shelter', 'description': 'Small bus stop shelter with roof and vertical panel', 'position': 'center of the image, midway into the depth along the sidewalk edge next to the road', 'orientation': 'facing the road'}, {'id': 'obj_4', 'class': 'tree', 'description': 'Large tree growing from the sidewalk close to its centerline', 'position': 'left-central foreground on the sidewalk near the curb to the road', 'orientation': 'trunk vertical with canopy overhanging sidewalk and road'}, {'id': 'obj_5', 'class': 'street_light', 'description': 'Tall street light illuminating the road and part of the sidewalk', 'position': 'upper left area near the road', 'orientation': 'vertical pole with light fixture at top'}, {'id': 'obj_6', 'class': 'vegetation', 'description': 'Shrubs and planted area separated from sidewalk by curb', 'position': 'right side of the image, parallel to the sidewalk', 'orientation': 'linear planting strip'}]</t>
  </si>
  <si>
    <t>[{'id': 'obj_1', 'class': 'sidewalk', 'description': 'Paved pedestrian sidewalk running along the left side of the street in the foreground and midground.', 'position': 'left side of image, extending from bottom foreground into distance', 'orientation': 'parallel to the roadway'}, {'id': 'obj_2', 'class': 'road', 'description': 'Two-way urban road with parked vehicles along the curb.', 'position': 'right side and center of image, extending into background', 'orientation': 'running from bottom right toward top center'}, {'id': 'obj_3', 'class': 'car', 'description': 'Dark gray car parked on the right side of the street adjacent to the obstructed sidewalk.', 'position': 'right-center foreground, next to curb', 'orientation': 'parked parallel to curb facing away from camera'}, {'id': 'obj_4', 'class': 'car', 'description': 'Additional parked cars lined along the right curb behind the gray car.', 'position': 'right side midground to background along curb', 'orientation': 'parallel to curb, facing away from camera'}, {'id': 'obj_5', 'class': 'building', 'description': 'Multi-story residential buildings with balconies along the right side of the street.', 'position': 'right side background', 'orientation': 'front facades facing the street'}, {'id': 'obj_6', 'class': 'streetlight', 'description': 'Series of lit streetlights illuminating the road and sidewalk.', 'position': 'centerline of image receding into background', 'orientation': 'vertical poles along street'}, {'id': 'obj_7', 'class': 'vegetation', 'description': 'Dense green foliage or hedge along the left wall beside the sidewalk.', 'position': 'left edge of image from bottom to mid-height', 'orientation': 'vertical along wall'}, {'id': 'obj_8', 'class': 'discarded_furniture', 'description': 'Large wooden door panel lying flat and partially raised, blocking the sidewalk and overhanging the curb.', 'position': 'bottom-center foreground spanning from sidewalk to curb edge', 'orientation': 'lying mostly horizontal, one side propped up'}, {'id': 'obj_9', 'class': 'discarded_furniture', 'description': 'Upright wooden panel or cabinet side standing next to the wall, associated with the door on the ground.', 'position': 'left-center foreground, directly beside the hedge and sidewalk edge', 'orientation': 'vertical, leaning slightly'}]</t>
  </si>
  <si>
    <t>[{'id': 'obj_1', 'class': 'car', 'description': 'Silver passenger car parked at an angle with rear closest to camera, encroaching slightly onto sidewalk edge', 'position': 'left side of foreground, partly on curb and partly in roadside parking area', 'orientation': 'front facing away from the camera toward the background curve in the road'}, {'id': 'obj_2', 'class': 'sidewalk', 'description': 'Paved pedestrian sidewalk running from foreground bottom center toward the background center-right, bordered by a raised stone planter wall with bushes', 'position': 'center of image, extending from bottom center to mid-right background', 'orientation': 'aligned roughly bottom-to-top toward background curve'}, {'id': 'obj_3', 'class': 'planter_wall', 'description': 'Raised stone wall supporting dense bushes, forming the right boundary of the sidewalk', 'position': 'right side of image, from lower-right corner toward mid-right background', 'orientation': 'parallel to the sidewalk'}, {'id': 'obj_4', 'class': 'bushes', 'description': 'Dense green shrubs planted along the raised wall, overhanging slightly toward the sidewalk', 'position': 'upper-right and right-middle edge along planter wall', 'orientation': 'n/a'}, {'id': 'obj_5', 'class': 'streetlights', 'description': 'Illuminated streetlight poles lighting the road and sidewalk in low-light conditions', 'position': 'upper-left quadrant near road', 'orientation': 'vertical'}, {'id': 'obj_6', 'class': 'moving_cars', 'description': 'Several blurred light-colored vehicles traveling on the adjacent roadway around a curve', 'position': 'center background and upper-center area beside the sidewalk', 'orientation': 'moving from right to left along the road'}, {'id': 'obj_7', 'class': 'traffic_signs', 'description': 'Circular and directional traffic signs visible along the road', 'position': 'left-center background near trees and road', 'orientation': 'facing oncoming road traffic'}]</t>
  </si>
  <si>
    <t>[{'id': 'obj_1', 'class': 'sidewalk', 'description': 'Paved brick sidewalk running from bottom center toward background along the right side of hedge and parked cars', 'position': 'extends from foreground to background along left-middle of image', 'orientation': 'aligned roughly vertically in image'}, {'id': 'obj_2', 'class': 'parked_cars', 'description': 'Row of parked cars along curb on right side of image, facing away from camera', 'position': 'right side from foreground to background', 'orientation': 'parallel to sidewalk and curb'}, {'id': 'obj_3', 'class': 'wooden_panel', 'description': 'Large rectangular wooden door or panel lying flat across much of the sidewalk, one edge at curb, with handle visible', 'position': 'foreground center-left, spanning from near hedge toward curb', 'orientation': 'lying horizontally across walking direction'}, {'id': 'obj_4', 'class': 'cardboard_box', 'description': 'Open cardboard box with bags or trash protruding, placed beside hedge at edge of sidewalk', 'position': 'left of center, near mid-foreground', 'orientation': 'upright'}, {'id': 'obj_5', 'class': 'metal_frame', 'description': 'Thin metal rack or frame leaning near hedge close to the cardboard box', 'position': 'left foreground', 'orientation': 'leaning vertically against hedge or post'}, {'id': 'obj_6', 'class': 'lamp_post', 'description': 'Tall street light pole on sidewalk closer to mid-background', 'position': 'center of image, slightly toward right', 'orientation': 'vertical'}, {'id': 'obj_7', 'class': 'curb', 'description': 'Raised red-painted curb edge between sidewalk and street', 'position': 'bottom right edge of image', 'orientation': 'diagonal across lower right'}, {'id': 'obj_8', 'class': 'hedge', 'description': 'Tall green hedge forming boundary along left side of sidewalk', 'position': 'left side from foreground to background', 'orientation': 'parallel to sidewalk'}]</t>
  </si>
  <si>
    <t>[{'id': 'obj_1', 'class': 'pedestrian', 'description': 'Adult walking on the crosswalk from left toward right of image, near center-left background.', 'position': 'center-left background on marked crosswalk across the street', 'orientation': 'facing toward the camera / right side of image'}, {'id': 'obj_2', 'class': 'pedestrian', 'description': 'Child walking next to the adult on the crosswalk in center-left background.', 'position': 'center-left background on marked crosswalk across the street', 'orientation': 'facing toward the camera / right side of image'}, {'id': 'obj_3', 'class': 'car', 'description': 'Parked car inside a recessed parking area of the building in the background.', 'position': 'center background, partially under building overhang', 'orientation': 'front facing toward the street'}, {'id': 'obj_4', 'class': 'construction_debris', 'description': 'Stacked boards/panels and other scrap materials leaning against a utility structure on the sidewalk.', 'position': 'right foreground on the sidewalk at the street corner', 'orientation': 'boards leaning diagonally against vertical utility structure'}, {'id': 'obj_5', 'class': 'trash_bag', 'description': 'Large yellow trash or construction waste bag placed on the brick sidewalk adjacent to stacked boards.', 'position': 'lower-left foreground on the sidewalk at the curb corner', 'orientation': 'standing upright'}, {'id': 'obj_6', 'class': 'utility_pole', 'description': "Electrical/communication pole with boxes and warning signs mounted, including 'Danger of Death' notices.", 'position': 'right-center of image near street corner on sidewalk', 'orientation': 'vertical pole'}, {'id': 'obj_7', 'class': 'sidewalk', 'description': 'Brick-paved pedestrian sidewalk at the corner, partially blocked by debris.', 'position': 'foreground and right side of the image along the curb', 'orientation': 'horizontal walking surface'}, {'id': 'obj_8', 'class': 'crosswalk', 'description': 'Painted pedestrian crosswalk across the street where the adult and child are walking.', 'position': 'mid-background spanning from left curb toward center', 'orientation': 'perpendicular to road'}, {'id': 'obj_9', 'class': 'building', 'description': 'Multi-story residential style building bordering the street.', 'position': 'left and center background', 'orientation': 'front facade facing street'}]</t>
  </si>
  <si>
    <t>[{'id': 'obj_1', 'class': 'roadway', 'description': 'Two-lane residential street surface at night', 'position': 'center of scene, extending horizontally', 'orientation': 'aligned with image left-right'}, {'id': 'obj_2', 'class': 'crosswalk', 'description': 'Painted white zebra crossing at near side of image', 'position': 'bottom-left foreground across the road', 'orientation': 'perpendicular to roadway direction'}, {'id': 'obj_3', 'class': 'sidewalk', 'description': 'Raised sidewalk with brick paving and curb', 'position': 'bottom-right edge and left midground bordering the road', 'orientation': 'parallel to roadway'}, {'id': 'obj_4', 'class': 'parked car', 'description': 'Silver car parked on the right side of the street facing toward camera', 'position': 'right edge mid-foreground', 'orientation': 'front facing slightly toward bottom-left'}, {'id': 'obj_5', 'class': 'parked car', 'description': 'Dark car parked on the far-right background side of street', 'position': 'right background near curb', 'orientation': 'side partially visible'}, {'id': 'obj_6', 'class': 'street sign pole', 'description': 'Tall pole with blue street signs', 'position': 'upper-center near sidewalk', 'orientation': 'vertical'}, {'id': 'obj_7', 'class': 'cloth/debris', 'description': 'Colorful plaid piece of clothing or fabric lying flat on the roadway near crosswalk', 'position': 'lower-center of road, just beyond the crosswalk', 'orientation': 'flat on road surface'}, {'id': 'obj_8', 'class': 'small debris', 'description': 'Small light-colored item, possibly trash, on roadway near cloth', 'position': 'slightly right of center on road', 'orientation': 'flat on road surface'}, {'id': 'obj_9', 'class': 'building', 'description': 'Residential building with balconies, stone wall, and parking area', 'position': 'upper half of image behind sidewalk', 'orientation': 'façade facing street'}]</t>
  </si>
  <si>
    <t>[{'id': 'obj_1', 'class': 'car', 'description': 'Silver Kia SUV parked on the sidewalk closest to the camera, rear facing toward viewer, partly occupying pedestrian path.', 'position': 'foreground center-right on sidewalk adjacent to road', 'orientation': 'aligned roughly parallel to roadway, facing away from photographer'}, {'id': 'obj_2', 'class': 'car', 'description': 'White car parked ahead of the Kia, close to curb/sidewalk interface.', 'position': 'midground left-center, adjacent to curb', 'orientation': 'parallel to road, facing away from photographer'}, {'id': 'obj_3', 'class': 'car', 'description': 'Dark-colored car further ahead in the line of parked vehicles.', 'position': 'background left-center along curb', 'orientation': 'parallel to road, facing away from photographer'}, {'id': 'obj_4', 'class': 'roadway', 'description': 'Paved road running along the left side of the image with streetlights and distant traffic.', 'position': 'left side of scene', 'orientation': 'extends from bottom left to upper left background'}, {'id': 'obj_5', 'class': 'sidewalk', 'description': 'Paved sidewalk with tile pattern where the foreground SUV is parked.', 'position': 'occupies lower half of image from center to right', 'orientation': 'parallel to roadway'}, {'id': 'obj_6', 'class': 'streetlight', 'description': 'Multiple tall streetlights illuminating the road and sidewalk.', 'position': 'left side and extending into background', 'orientation': 'vertical'}, {'id': 'obj_7', 'class': 'building', 'description': 'High-rise residential or office buildings in the background.', 'position': 'upper half of image, left and right sides', 'orientation': 'vertical structures'}, {'id': 'obj_8', 'class': 'vegetation', 'description': 'Trees and shrubs along the right side near buildings.', 'position': 'right side midground', 'orientation': 'n/a'}]</t>
  </si>
  <si>
    <t>[{'id': 'obj_1', 'class': 'car', 'description': 'White Mazda CX-5 SUV parked facing away from the camera, fully on the paved sidewalk next to the curb', 'position': 'center foreground, occupying most of the sidewalk width along the street edge', 'orientation': 'rear facing toward camera, front pointing away along the sidewalk'}, {'id': 'obj_2', 'class': 'sidewalk', 'description': 'Paved pedestrian walkway running parallel to the road, mostly blocked by the parked car', 'position': 'bottom to mid frame beneath and around the car', 'orientation': 'longitudinal along the road'}, {'id': 'obj_3', 'class': 'road', 'description': 'Vehicle roadway with lane markings adjacent to the sidewalk', 'position': 'left side of frame beside the curb', 'orientation': 'running roughly top-left to bottom-left'}, {'id': 'obj_4', 'class': 'traffic_sign', 'description': 'Pedestrian crossing warning sign mounted on a pole near the rear of the car', 'position': 'upper center of frame behind the car', 'orientation': 'facing toward oncoming roadway traffic'}, {'id': 'obj_5', 'class': 'tree_pit', 'description': 'Unoccupied tree pit cut-out in the sidewalk with soil and roots exposed', 'position': 'bottom-right foreground of frame in the sidewalk', 'orientation': 'fixed ground feature'}]</t>
  </si>
  <si>
    <t>[{'id': 'obj_1', 'class': 'electric_scooter', 'description': 'Shared standing electric scooter placed over a painted scooter symbol within a designated parking box on brick pavement.', 'position': 'foreground center on paved area adjacent to grass verge', 'orientation': 'leaning slightly to the right with front facing toward the camera'}, {'id': 'obj_2', 'class': 'pavement', 'description': 'Brick-paved area with white rectangular markings and a painted scooter icon indicating parking spot.', 'position': 'bottom and mid-frame', 'orientation': 'horizontal surface'}, {'id': 'obj_3', 'class': 'sidewalk_path', 'description': 'Curving light-colored pedestrian path running behind the scooter along hedge line.', 'position': 'mid-frame left to right behind scooter', 'orientation': 'curving away to the right'}, {'id': 'obj_4', 'class': 'vegetation', 'description': 'Grass lawn, low hedges, and tall trees bordering the path and pavement.', 'position': 'right and upper portions of the frame', 'orientation': 'fixed landscaping'}, {'id': 'obj_5', 'class': 'fence', 'description': 'Tall wire or mesh fence, possibly for a sports court, in the background.', 'position': 'upper right background', 'orientation': 'vertical structure'}, {'id': 'obj_6', 'class': 'lighting_poles', 'description': 'Tall poles consistent with street or sports field lighting, illuminating the area at night.', 'position': 'background left and right', 'orientation': 'vertical'}]</t>
  </si>
  <si>
    <t>[{'id': 'obj_1', 'class': 'sidewalk', 'description': 'Wide brick-paved sidewalk running from foreground to background along right side of street', 'position': 'occupies most of lower and central part of image, parallel to street', 'orientation': 'extends away from camera toward background'}, {'id': 'obj_2', 'class': 'road', 'description': 'Two-lane roadway with traffic, adjacent to sidewalk on the left', 'position': 'left side of image', 'orientation': 'extends parallel to sidewalk from foreground to background'}, {'id': 'obj_3', 'class': 'car', 'description': 'Parked silver car closest to camera along curb next to sidewalk', 'position': 'left foreground near curb', 'orientation': 'facing away from camera along direction of street'}, {'id': 'obj_4', 'class': 'vehicles', 'description': 'Multiple additional cars in traffic further down the street with headlights and taillights', 'position': 'left midground and background along road', 'orientation': 'aligned with direction of road traffic'}, {'id': 'obj_5', 'class': 'pedestrian', 'description': 'Single person walking along sidewalk away from camera', 'position': 'center-right background on sidewalk near wall', 'orientation': 'back facing camera, moving away along sidewalk'}, {'id': 'obj_6', 'class': 'street_light', 'description': 'Tall streetlights illuminating road and sidewalk', 'position': 'upper left along road edge', 'orientation': 'vertical poles with lights directed downward'}, {'id': 'obj_7', 'class': 'tree', 'description': 'Row of street trees between sidewalk and road', 'position': 'left side of sidewalk along curb line', 'orientation': 'vertical trunks with canopies overhanging'}, {'id': 'obj_8', 'class': 'wall', 'description': 'Long plastered wall bordering right side of sidewalk with vegetation above', 'position': 'right side of image', 'orientation': 'parallel to sidewalk'}, {'id': 'obj_9', 'class': 'manhole_cover', 'description': 'Round access cover slightly raised/flush in middle of sidewalk', 'position': 'center midground of sidewalk', 'orientation': 'horizontal on walking surface'}, {'id': 'obj_10', 'class': 'vegetation', 'description': 'Bushes and overhanging plants on top of wall and at sidewalk edge', 'position': 'right edge and upper right of image', 'orientation': 'overhanging partially toward sidewalk'}]</t>
  </si>
  <si>
    <t>[{'id': 'obj_1', 'class': 'sidewalk', 'description': 'Paved pedestrian sidewalk running from foreground to background', 'position': 'extends through center of image from bottom to upper center', 'orientation': 'aligned roughly front-to-back in camera view'}, {'id': 'obj_2', 'class': 'car', 'description': 'White SUV parked along right edge of sidewalk, partially encroaching onto the walkway', 'position': 'right side foreground and midground', 'orientation': 'parked parallel to sidewalk, facing away from camera'}, {'id': 'obj_3', 'class': 'car', 'description': 'White car parked further ahead near the street intersection', 'position': 'upper center-right background', 'orientation': 'facing away from the camera along the street'}, {'id': 'obj_4', 'class': 'debris', 'description': 'Large broken structure or furniture pieces with scattered fragments and a cloth-like item on the sidewalk', 'position': 'center of image, midground, spanning most of the sidewalk width', 'orientation': 'collapsed and lying flat/angled across the walking path'}, {'id': 'obj_5', 'class': 'building_hedge_wall', 'description': 'Low retaining wall with hedge or bush on top, bordering one side of the sidewalk', 'position': 'left side of image from foreground to background', 'orientation': 'parallel to sidewalk'}, {'id': 'obj_6', 'class': 'street', 'description': 'Roadway with additional vehicles and street signs visible beyond the sidewalk', 'position': 'upper right background', 'orientation': 'perpendicular/angled relative to camera view'}]</t>
  </si>
  <si>
    <t>[{'id': 'obj_1', 'class': 'electric_scooter', 'description': 'Standing rental-type e-scooter positioned upright within a painted scooter parking box on paved bricks near a grassy edge', 'position': 'foreground center of the scene in a marked scooter parking space along the edge of a path or sidewalk', 'orientation': 'facing slightly toward the right side of the image'}, {'id': 'obj_2', 'class': 'sidewalk_path', 'description': 'Curved paved path running horizontally behind the scooter, separating hedge from grass', 'position': 'midground across the width of the image behind the scooter', 'orientation': 'curving from left to right'}, {'id': 'obj_3', 'class': 'vegetation_hedge', 'description': 'Tall dense hedge forming a barrier along the back of the paved path', 'position': 'background spanning left to right', 'orientation': 'linear barrier parallel to the path'}, {'id': 'obj_4', 'class': 'grass_area', 'description': 'Rectangular grassy area bordered by curbstone next to the scooter parking', 'position': 'right side and middle-right foreground of the image', 'orientation': 'flat lawn adjacent to paving'}, {'id': 'obj_5', 'class': 'fence', 'description': 'Tall wire or mesh sports-style fence visible behind trees', 'position': 'background right side of the image', 'orientation': 'vertical posts with netting'}]</t>
  </si>
  <si>
    <t>[{'id': 'obj_1', 'class': 'sidewalk', 'description': 'Brick-paved sidewalk in the foreground and right side of the image', 'position': 'foreground and right side of scene, parallel to the street', 'orientation': 'extends from bottom-right toward mid-background'}, {'id': 'obj_2', 'class': 'road', 'description': 'Two-lane urban street with crosswalk markings', 'position': 'left and upper portions of image adjacent to sidewalk', 'orientation': 'runs roughly horizontally across the image'}, {'id': 'obj_3', 'class': 'car', 'description': 'Blue car driving or parked on the street near the crosswalk', 'position': 'upper-center of image on the road', 'orientation': 'facing away from the camera'}, {'id': 'obj_4', 'class': 'car', 'description': 'Yellow car on the far side of the street near vegetation', 'position': 'upper-left-center on opposite side of the road', 'orientation': 'angled slightly toward the right'}, {'id': 'obj_5', 'class': 'traffic_sign', 'description': 'No-parking or restriction sign on a tall pole at the edge of the sidewalk', 'position': 'right side of image near curb line', 'orientation': 'upright pole with sign facing toward the street'}, {'id': 'obj_6', 'class': 'vegetation_debris', 'description': 'Large pile of cut or fallen branches and leaves on the sidewalk near the curb', 'position': 'lower-left to mid-center of image along the sidewalk edge', 'orientation': 'elongated pile parallel to the curb'}, {'id': 'obj_7', 'class': 'trash_bin_or_container', 'description': 'Light-colored plastic container partially embedded in vegetation debris on sidewalk', 'position': 'center of the vegetation pile near curb', 'orientation': 'tilted on its side'}]</t>
  </si>
  <si>
    <t>[{'id': 'obj_1', 'class': 'sidewalk', 'description': 'Brick-paved pedestrian sidewalk in the foreground extending along the right side of the road.', 'position': 'right side of image, foreground and midground', 'orientation': 'parallel to road'}, {'id': 'obj_2', 'class': 'road', 'description': 'Two-lane urban street with a pedestrian crosswalk near the center-left of the image.', 'position': 'left and center of image', 'orientation': 'runs horizontally across scene'}, {'id': 'obj_3', 'class': 'car', 'description': 'Blue car driving or stopped near the crosswalk on the right lane.', 'position': 'midground, center-right near road', 'orientation': 'facing toward the right'}, {'id': 'obj_4', 'class': 'car', 'description': 'Yellow car parked along the curb behind the blue car.', 'position': 'midground, center-left by curb', 'orientation': 'aligned with road'}, {'id': 'obj_5', 'class': 'car', 'description': 'Dark-colored parked car further back along the curb.', 'position': 'background, left side along road', 'orientation': 'aligned with road'}, {'id': 'obj_6', 'class': 'traffic_sign', 'description': 'No-entry or turn restriction sign mounted on a pole by the sidewalk edge.', 'position': 'right side, midground by curb line', 'orientation': 'facing oncoming road users'}, {'id': 'obj_7', 'class': 'vegetation_debris', 'description': 'Pile of cut branches, foliage, and soil on the sidewalk encroaching toward the curb.', 'position': 'foreground, center-right on sidewalk near curb', 'orientation': 'low horizontal pile'}, {'id': 'obj_8', 'class': 'waste_container', 'description': 'Light-colored plastic bin or container lying on its side within the debris pile.', 'position': 'foreground, just above center of debris pile on sidewalk', 'orientation': 'tipped over, opening facing left'}]</t>
  </si>
  <si>
    <t>[{'id': 'obj_1', 'class': 'sidewalk', 'description': 'Brick-paved sidewalk extending from foreground to background along right side of street', 'position': 'dominant central area of image from bottom center to upper center-right', 'orientation': 'aligned parallel to street, receding into distance'}, {'id': 'obj_2', 'class': 'car', 'description': 'White car parked curbside closest to camera', 'position': 'left side of image, mid-height, adjacent to street edge', 'orientation': 'parked parallel to curb facing away from camera'}, {'id': 'obj_3', 'class': 'car', 'description': 'Second white car parked in front of the first one', 'position': 'left side of image, slightly above obj_2', 'orientation': 'parked parallel to curb facing away from camera'}, {'id': 'obj_4', 'class': 'cars', 'description': 'Multiple cars in traffic queue with visible tail lights', 'position': 'upper left to upper center along roadway', 'orientation': 'aligned with roadway, facing away from camera'}, {'id': 'obj_5', 'class': 'pedestrian', 'description': 'Single person walking along the sidewalk away from the camera', 'position': 'mid-right background on sidewalk near wall', 'orientation': 'back to camera, walking forward along path'}, {'id': 'obj_6', 'class': 'street_lights', 'description': 'Tall street lights illuminating road and sidewalk', 'position': 'upper left and upper center of image along street edge', 'orientation': 'vertical poles with lights projecting downward'}, {'id': 'obj_7', 'class': 'trees', 'description': 'Street trees and dense vegetation along right side and partly left side', 'position': 'right side border and partial upper left background', 'orientation': 'vertical trunks with canopy overhanging sidewalk and wall'}, {'id': 'obj_8', 'class': 'traffic_light', 'description': 'Red traffic signal over the street in the distance', 'position': 'upper center background above vehicle queue', 'orientation': 'facing vehicles moving away from camera'}, {'id': 'obj_9', 'class': 'building', 'description': 'Multi-story urban building in background beyond intersection', 'position': 'upper center of image behind traffic lights', 'orientation': 'facade facing toward camera'}, {'id': 'obj_10', 'class': 'wall', 'description': 'Solid wall running along right side of sidewalk with vegetation over it', 'position': 'right side from mid-height to upper right', 'orientation': 'parallel to sidewalk'}, {'id': 'obj_11', 'class': 'litter', 'description': 'Small piece of trash or plastic on ground near shrubbery', 'position': 'lower right edge near vegetation', 'orientation': 'lying flat on ground'}]</t>
  </si>
  <si>
    <t>[{'id': 'obj_1', 'class': 'vegetation_debris', 'description': 'Large pile of cut tree branches and foliage lying along the curb between the sidewalk and the roadway in the foreground.', 'position': 'foreground, extending along the curb at the edge of the sidewalk on the right side of the roadway', 'orientation': 'elongated parallel to the curb and street'}, {'id': 'obj_2', 'class': 'car', 'description': 'White sedan parked parallel to the curb on the far side of the street, facing away from the camera.', 'position': 'mid-ground left, on-street parking lane', 'orientation': 'aligned with direction of road, facing away'}, {'id': 'obj_3', 'class': 'car', 'description': 'Silver/white hatchback parked behind the white sedan on the far side of the street.', 'position': 'mid-ground center-right, on-street parking lane', 'orientation': 'aligned with direction of road, facing away'}, {'id': 'obj_4', 'class': 'car', 'description': 'Additional white car parked further down the street.', 'position': 'background right, on-street parking lane', 'orientation': 'aligned with direction of road'}, {'id': 'obj_5', 'class': 'sidewalk', 'description': 'Paved pedestrian sidewalk running along the right side of the image next to the vegetation debris.', 'position': 'right side and foreground', 'orientation': 'parallel to curb and roadway'}, {'id': 'obj_6', 'class': 'roadway', 'description': 'Two-lane residential street with on-street parking.', 'position': 'center of image between sidewalk and parked cars', 'orientation': 'extending from bottom to top of frame'}, {'id': 'obj_7', 'class': 'tree', 'description': 'Street trees planted along the curb on both sides of the road.', 'position': 'left and mid-ground, along both curbs', 'orientation': 'vertical trunks with canopies above'}, {'id': 'obj_8', 'class': 'building', 'description': 'Multi-story residential apartment buildings with balconies and air conditioning units.', 'position': 'background across upper part of image', 'orientation': 'facing the street'}]</t>
  </si>
  <si>
    <t>[{'id': 'obj_1', 'class': 'sidewalk', 'description': 'Paved brick sidewalk running from bottom foreground to upper middle of the image along the right side of the street', 'position': 'right side of the scene, foreground to midground', 'orientation': 'aligned roughly vertically in image'}, {'id': 'obj_2', 'class': 'car', 'description': 'White passenger car with brake lights on, turning near the intersection close to the curb and sidewalk', 'position': 'center of image near the top, adjacent to curb', 'orientation': 'angled roughly leftward, turning into or out of intersection'}, {'id': 'obj_3', 'class': 'van', 'description': 'White van parked on the street near the intersection', 'position': 'upper left of image, on the road', 'orientation': 'facing roughly toward the right side of the image'}, {'id': 'obj_4', 'class': 'curb', 'description': 'Raised curb separating the street and sidewalk', 'position': 'left edge of sidewalk, running from bottom to mid-height', 'orientation': 'vertical along image'}, {'id': 'obj_5', 'class': 'drain', 'description': 'Street drain/grate located near the curb on the sidewalk or curb edge', 'position': 'left side of sidewalk in lower mid-section of image', 'orientation': 'flat on ground'}, {'id': 'obj_6', 'class': 'bollard', 'description': 'Short post at the corner of sidewalk near intersection edge', 'position': 'right side near upper middle of image, at the corner', 'orientation': 'vertical post'}, {'id': 'obj_7', 'class': 'retaining_wall', 'description': 'Low stone or brick wall with vegetation on top, bordering the right side of the sidewalk', 'position': 'right edge of image from mid to upper section', 'orientation': 'horizontal along sidewalk'}, {'id': 'obj_8', 'class': 'building', 'description': 'Urban buildings surrounding the intersection', 'position': 'background across upper half of image', 'orientation': 'framing the street'}]</t>
  </si>
  <si>
    <t>[{'id': 'obj_1', 'class': 'sidewalk', 'description': 'Paved brick sidewalk running from foreground to background along the right side of parked cars and a hedge wall.', 'position': 'covers most of lower and central part of the image', 'orientation': 'extends from bottom center toward upper center'}, {'id': 'obj_2', 'class': 'car', 'description': 'White car parked very close to the sidewalk edge on the right side of the frame.', 'position': 'right side, occupying middle-right vertically', 'orientation': 'aligned parallel with sidewalk, facing away from camera'}, {'id': 'obj_3', 'class': 'debris', 'description': 'Large pile of bulky waste (mattress or cushions, boards, bags) lying across the sidewalk ahead.', 'position': 'center of image toward background, spanning most of sidewalk width', 'orientation': 'spread irregularly across walking path'}, {'id': 'obj_4', 'class': 'cars', 'description': 'Several additional parked cars further along the street and on the opposite side.', 'position': 'upper center and upper right background', 'orientation': 'parallel to roadway'}, {'id': 'obj_5', 'class': 'hedge', 'description': 'Tall dense hedge or vegetation wall bordering the left edge of the sidewalk.', 'position': 'left side from bottom to top', 'orientation': 'parallel to sidewalk'}, {'id': 'obj_6', 'class': 'street_lighting', 'description': 'Ambient lighting indicative of street lights illuminating the area at dusk or night.', 'position': 'not directly visible but inferred from overall illumination', 'orientation': 'overhead/out of frame'}]</t>
  </si>
  <si>
    <t>[{'id': 'obj_1', 'class': 'sidewalk', 'description': 'Paved pedestrian sidewalk running from foreground to background along a low retaining wall with bushes on the left and parked cars on the right', 'position': 'extends through center of image from bottom to mid-background', 'orientation': 'aligned roughly front-to-back in image'}, {'id': 'obj_2', 'class': 'car', 'description': 'White SUV parked on the right side of the sidewalk, close to and partially overhanging walking space', 'position': 'right side foreground', 'orientation': 'parked parallel to sidewalk, facing away from camera'}, {'id': 'obj_3', 'class': 'car', 'description': 'White car parked ahead in the mid-background near the street intersection', 'position': 'center-right mid-background', 'orientation': 'facing toward the camera'}, {'id': 'obj_4', 'class': 'debris', 'description': 'Large pile of broken material, including what appears to be a displaced/collapsed structure or cabinet and scattered fragments, lying across the sidewalk', 'position': 'center of image, slightly left of the parked SUV, blocking the path', 'orientation': 'debris spread laterally across the sidewalk'}, {'id': 'obj_5', 'class': 'fabric_item', 'description': 'Large striped blanket or sheet on the ground intertwined with the debris pile', 'position': 'center of image beneath and around debris pile', 'orientation': 'lying flat on sidewalk surface'}, {'id': 'obj_6', 'class': 'wall', 'description': 'Low retaining wall with dense hedge on top along left side of sidewalk', 'position': 'left edge of image from foreground to background', 'orientation': 'parallel to sidewalk'}, {'id': 'obj_7', 'class': 'street', 'description': 'Roadway with multiple cars beyond the sidewalk area', 'position': 'upper center and right background', 'orientation': 'running roughly left-right'}]</t>
  </si>
  <si>
    <t>[{'id': 'obj_1', 'class': 'sidewalk', 'description': 'Brick-paved sidewalk in the foreground extending toward the intersection', 'position': 'bottom to mid-right of the scene, parallel to the roadway', 'orientation': 'extends from bottom-center toward top-center'}, {'id': 'obj_2', 'class': 'road', 'description': 'Two-way paved road adjacent to the sidewalk with a curb and storm drain', 'position': 'left and mid portion of the scene, running toward the intersection', 'orientation': 'extends from bottom-left toward top-left'}, {'id': 'obj_3', 'class': 'car', 'description': 'White hatchback car with brake lights on, stopped near intersection', 'position': 'upper-center of the scene, straddling or very close to the curb at the corner', 'orientation': 'facing away from the camera toward the intersection'}, {'id': 'obj_4', 'class': 'car', 'description': 'White sedan or hatchback ahead of the main car, partly visible at the intersection', 'position': 'upper-right of the scene near the crossing', 'orientation': 'angled across the intersection'}, {'id': 'obj_5', 'class': 'van', 'description': 'White panel van parked or stopped on the opposite side of the intersection', 'position': 'upper-left of the scene beyond the main car', 'orientation': 'facing right'}, {'id': 'obj_6', 'class': 'building', 'description': 'Multi-story residential or mixed-use buildings around the intersection', 'position': 'background across the upper half of the image', 'orientation': 'facades facing the road'}, {'id': 'obj_7', 'class': 'vegetation', 'description': 'Shrubs or low bushes along a raised planter beside the sidewalk', 'position': 'mid-right edge of the scene above a short retaining wall', 'orientation': 'linear strip parallel to the sidewalk'}]</t>
  </si>
  <si>
    <t>[{'id': 'obj_1', 'class': 'sidewalk', 'description': 'Brick-paved sidewalk running from bottom center toward upper right alongside the road, bordered by a low curb.', 'position': 'right side and foreground of scene', 'orientation': 'extends from foreground to background along road'}, {'id': 'obj_2', 'class': 'road', 'description': 'Paved roadway to the left of the curb, leading to an intersection at the top center of the image.', 'position': 'left side and upper center of scene', 'orientation': 'runs roughly bottom-left to top-center'}, {'id': 'obj_3', 'class': 'car', 'description': 'White hatchback or small car facing away from the camera near the intersection, brake lights on.', 'position': 'upper center of scene, partially on the road near the curb', 'orientation': 'oriented away from camera toward intersection'}, {'id': 'obj_4', 'class': 'car', 'description': 'Light-colored car ahead of the white car at the intersection, mostly obscured.', 'position': 'upper center-right beyond obj_3', 'orientation': 'facing toward right side of frame'}, {'id': 'obj_5', 'class': 'van', 'description': 'White van parked or waiting on the far side of the intersection.', 'position': 'upper left of intersection area', 'orientation': 'facing toward right side of frame'}, {'id': 'obj_6', 'class': 'building', 'description': 'Multi-story urban buildings flanking the street near the intersection.', 'position': 'upper right and upper center background', 'orientation': 'fronts facing the street'}, {'id': 'obj_7', 'class': 'vegetation', 'description': 'Bushes or hedges on top of a low stone retaining wall along the right side of the sidewalk.', 'position': 'right edge of scene, mid to upper right', 'orientation': 'parallel to sidewalk'}, {'id': 'obj_8', 'class': 'curb', 'description': 'Raised curb separating the brick sidewalk from the roadway.', 'position': 'runs from bottom center toward upper middle-left', 'orientation': 'parallel to sidewalk and road'}, {'id': 'obj_9', 'class': 'drain', 'description': 'Storm drain grate set into the road near the curb not far from the intersection.', 'position': 'left of sidewalk near mid-height of image', 'orientation': 'embedded in road surface'}, {'id': 'obj_10', 'class': 'bollard', 'description': 'Short post at the edge of the sidewalk near the corner by the stone wall.', 'position': 'upper right near where sidewalk curves around corner', 'orientation': 'vertical'}]</t>
  </si>
  <si>
    <t>[{'id': 'obj_1', 'class': 'sidewalk', 'description': 'Brick-paved sidewalk running along the right side of the image, parallel to the roadway.', 'position': 'foreground and right side of scene', 'orientation': 'aligned parallel to the street'}, {'id': 'obj_2', 'class': 'roadway', 'description': 'Two-lane urban street with a marked pedestrian crosswalk.', 'position': 'midground, left half of image', 'orientation': 'running horizontally across the frame'}, {'id': 'obj_3', 'class': 'car', 'description': 'Blue car driving or parked near the crosswalk on the right lane.', 'position': 'midground right on the roadway, near crosswalk', 'orientation': 'facing toward the right edge of the frame'}, {'id': 'obj_4', 'class': 'car', 'description': 'Yellow car parked on the far side of the street near the crosswalk.', 'position': 'midground center-left on opposite side of street', 'orientation': 'parallel to curb'}, {'id': 'obj_5', 'class': 'car', 'description': 'Small dark car parked further back along the opposite curb.', 'position': 'background left on opposite side of street', 'orientation': 'parallel to curb'}, {'id': 'obj_6', 'class': 'traffic_sign', 'description': 'Round traffic sign on vertical pole, possibly a no-parking or restriction sign.', 'position': 'right side of street edge near crosswalk', 'orientation': 'facing toward approaching traffic'}, {'id': 'obj_7', 'class': 'trash_bin', 'description': 'Light-colored plastic bin or container lying on its side on the sidewalk.', 'position': 'lower center, on sidewalk near curb', 'orientation': 'tipped over, opening facing left toward street'}, {'id': 'obj_8', 'class': 'vegetation_debris', 'description': 'Large pile of branches, leaves, and yard waste spread across part of the sidewalk near the curb.', 'position': 'lower center and left edge of sidewalk, adjacent to the street', 'orientation': 'elongated along curb line'}]</t>
  </si>
  <si>
    <t>[{'id': 'obj_1', 'class': 'sidewalk', 'description': 'Wide brick-paved pedestrian walkway extending from bottom center toward the distant background, flanked by curbs.', 'position': 'central foreground to background', 'orientation': 'aligned roughly away from camera in the depth direction'}, {'id': 'obj_2', 'class': 'trees', 'description': 'Row of mature trees on the right side of the sidewalk forming a canopy over part of the path.', 'position': 'right side of frame, bordering sidewalk', 'orientation': 'vertical trunks with branches extending over walkway'}, {'id': 'obj_3', 'class': 'vegetation', 'description': 'Low shrubs and plants in landscaped strip between sidewalk and roadway.', 'position': 'left side of sidewalk, mid-foreground to background', 'orientation': 'ground-level plantings parallel to walkway'}, {'id': 'obj_4', 'class': 'roadway', 'description': 'Multi-lane road with moving vehicle lights and traffic signals visible through vegetation.', 'position': 'left background behind vegetation', 'orientation': 'running parallel to the sidewalk'}, {'id': 'obj_5', 'class': 'street_lights', 'description': 'Overhead street lighting illuminating the sidewalk and roadway.', 'position': 'upper part of frame along the path and road', 'orientation': 'mounted above, shining downward'}, {'id': 'obj_6', 'class': 'traffic_lights', 'description': 'Green traffic signals visible in the distance along the adjacent road.', 'position': 'left-center background', 'orientation': 'facing along roadway direction'}, {'id': 'obj_7', 'class': 'bench', 'description': 'Park bench placed along the sidewalk edge near the mid-background.', 'position': 'slightly left of center in mid-background', 'orientation': 'parallel to sidewalk'}]</t>
  </si>
  <si>
    <t>[{'id': 'obj_1', 'class': 'sidewalk', 'description': 'Paved pedestrian sidewalk running from bottom foreground toward the left side and background of the image', 'position': 'foreground and left side of scene', 'orientation': 'extends away from camera toward background'}, {'id': 'obj_2', 'class': 'cardboard_box', 'description': "Large standing cardboard box labeled 'KAZA' with long rectangular packaging pieces sticking out and additional trash inside", 'position': 'right side of sidewalk in foreground, adjacent to low wall', 'orientation': 'box opening facing camera, tall contents leaning diagonally toward wall'}, {'id': 'obj_3', 'class': 'wall', 'description': 'Low stone or concrete wall bordering the edge of the sidewalk and a slightly elevated dirt/grass area', 'position': 'right side of the image, parallel to sidewalk', 'orientation': 'runs from foreground to background'}, {'id': 'obj_4', 'class': 'passenger_car', 'description': 'White car parked along curb of the street near intersection', 'position': 'left-mid background', 'orientation': 'parallel to curb'}, {'id': 'obj_5', 'class': 'traffic_sign', 'description': 'Blue mandatory right-turn sign on pole', 'position': 'left-middle of image next to intersection', 'orientation': 'facing approaching drivers from background street'}, {'id': 'obj_6', 'class': 'traffic_sign', 'description': 'Yield sign on pole', 'position': 'left-middle of image, slightly in front of blue right-turn sign', 'orientation': 'facing vehicles coming from right'}, {'id': 'obj_7', 'class': 'buildings', 'description': 'Multi-story residential apartment buildings with balconies and lit windows', 'position': 'background across entire width', 'orientation': 'facades facing street and sidewalk'}, {'id': 'obj_8', 'class': 'street_lighting', 'description': 'Ambient street and building lighting illuminating the sidewalk and road at night', 'position': 'off-frame but casting light on entire scene', 'orientation': 'overhead and from building walls'}, {'id': 'obj_9', 'class': 'vegetation', 'description': 'Bushes and patch of dry grass/soil next to wall', 'position': 'right-middle next to wall and behind box', 'orientation': 'static ground vegetation'}]</t>
  </si>
  <si>
    <t>[{'id': 'obj_1', 'class': 'sidewalk', 'description': 'Brick-paved sidewalk in the foreground running along the right side of the street', 'position': 'foreground and right side of image', 'orientation': 'parallel to roadway'}, {'id': 'obj_2', 'class': 'road', 'description': 'Two-lane urban street with a marked pedestrian crosswalk', 'position': 'middle and left side of image', 'orientation': 'runs horizontally across the frame'}, {'id': 'obj_3', 'class': 'car', 'description': 'Blue car driving on the street near the crosswalk', 'position': 'upper-right quadrant on the road', 'orientation': 'moving from left to right'}, {'id': 'obj_4', 'class': 'car', 'description': 'Yellow car parked on the opposite side of the street', 'position': 'upper-middle near the far curb', 'orientation': 'parallel to curb'}, {'id': 'obj_5', 'class': 'car', 'description': 'Dark car parked behind the yellow car on the far side of the road', 'position': 'upper-left quadrant, far curb', 'orientation': 'parallel to curb'}, {'id': 'obj_6', 'class': 'traffic_sign', 'description': 'Vertical pole-mounted circular traffic sign (likely indicating restriction)', 'position': 'upper-right edge on sidewalk near curb', 'orientation': 'facing oncoming traffic'}, {'id': 'obj_7', 'class': 'vegetation_debris', 'description': 'Uprooted plants, branches, and soil scattered along the sidewalk close to the curb', 'position': 'lower-center to mid-right foreground on sidewalk edge near roadway', 'orientation': 'lying horizontally, extending along curb'}, {'id': 'obj_8', 'class': 'container_debris', 'description': 'White plastic container or barrel lying among the plants on the sidewalk', 'position': 'center of vegetation debris near curb', 'orientation': 'on its side'}]</t>
  </si>
  <si>
    <t>[{'id': 'obj_1', 'class': 'sidewalk', 'description': 'Brick-paved sidewalk in the foreground and right side of the image adjacent to the street and crosswalk', 'position': 'foreground and right side of scene along road edge', 'orientation': 'runs from bottom of frame toward background'}, {'id': 'obj_2', 'class': 'street', 'description': 'Vehicular roadway with a crosswalk and curb, extending left to background', 'position': 'left half of image, behind the sidewalk', 'orientation': 'extends roughly left-right'}, {'id': 'obj_3', 'class': 'crosswalk', 'description': 'Painted pedestrian crosswalk leading from sidewalk across the street', 'position': 'middle-left of image near intersection', 'orientation': 'perpendicular to sidewalk'}, {'id': 'obj_4', 'class': 'street_light', 'description': 'Tall streetlight pole with two lit lamps illuminating intersection', 'position': 'upper center-left of image near intersection curb', 'orientation': 'vertical'}, {'id': 'obj_5', 'class': 'electrical_infrastructure', 'description': 'Electrical pole with boxes, cables, and warning signs indicating danger of death', 'position': 'right-center of image along sidewalk edge', 'orientation': 'vertical pole with attached equipment'}, {'id': 'obj_6', 'class': 'building', 'description': 'Multi-story residential-looking building with lit entrance facing the street', 'position': 'background center of image', 'orientation': 'façade faces toward camera'}, {'id': 'obj_7', 'class': 'parked_car', 'description': 'Car parked along the street near the intersection', 'position': 'background left of image', 'orientation': 'aligned with roadway'}, {'id': 'obj_8', 'class': 'trash_bag', 'description': 'Large yellow plastic trash or debris bag placed on the sidewalk near the pole', 'position': 'foreground center-left on sidewalk', 'orientation': 'upright'}, {'id': 'obj_9', 'class': 'bulky_waste', 'description': 'Stack of large boards and panels leaning against a structure on the sidewalk', 'position': 'foreground right-center on sidewalk', 'orientation': 'leaning vertically against utility structure'}, {'id': 'obj_10', 'class': 'utility_box', 'description': 'Large light-colored utility cabinet at edge of sidewalk', 'position': 'foreground right edge of image', 'orientation': 'vertical rectangular box'}, {'id': 'obj_11', 'class': 'traffic_sign', 'description': 'Blue parking-related road sign on a pole by the curb', 'position': 'mid-left side of the image near street edge', 'orientation': 'vertical pole, sign facing camera'}, {'id': 'obj_12', 'class': 'vegetation', 'description': 'Trees lining the street', 'position': 'left and upper parts of the scene', 'orientation': 'upright along sidewalk and street'}]</t>
  </si>
  <si>
    <t>[{'id': 'obj_1', 'class': 'pedestrian', 'description': 'Adult person in white top and dark pants walking away from the camera in the middle of the sidewalk, carrying a turquoise bag on the left side.', 'position': 'center of sidewalk, foreground to mid-ground', 'orientation': 'back facing camera, moving forward along sidewalk'}, {'id': 'obj_2', 'class': 'sidewalk', 'description': 'Paved pedestrian walkway extending from foreground to background.', 'position': 'occupies most of lower and central part of the frame', 'orientation': 'aligned roughly with camera viewing direction'}, {'id': 'obj_3', 'class': 'parked_cars', 'description': 'Row of cars parked along the street to the left of the sidewalk.', 'position': 'left side of image, parallel to sidewalk', 'orientation': 'aligned lengthwise with the street'}, {'id': 'obj_4', 'class': 'stone_wall', 'description': 'Low stone retaining wall bordering the right edge of the sidewalk.', 'position': 'right side of sidewalk from foreground to mid-ground', 'orientation': 'parallel to sidewalk'}, {'id': 'obj_5', 'class': 'street_lighting', 'description': 'Streetlights illuminating the sidewalk and road area.', 'position': 'background upper-left and upper-central areas', 'orientation': 'vertical poles'}, {'id': 'obj_6', 'class': 'trees', 'description': 'Street trees planted along the sidewalk near the curb.', 'position': 'left side of sidewalk near parked cars', 'orientation': 'vertical trunks'}]</t>
  </si>
  <si>
    <t>[{'id': 'obj_1', 'class': 'pedestrian', 'description': 'Adult person in light pants and beige top walking in the roadway over the crosswalk between vehicles', 'position': 'center of image, on or just beyond the crosswalk in the lane space between parked car on left and red car on right', 'orientation': 'walking away from camera toward background vehicles'}, {'id': 'obj_2', 'class': 'car', 'description': 'Dark-colored parked car with yellow rear license plate on left side of frame', 'position': 'left foreground, partly on/near crosswalk edge', 'orientation': 'facing away from camera'}, {'id': 'obj_3', 'class': 'car', 'description': 'White car or small van with brake lights on, stopped in the street', 'position': 'left mid-background, in traffic lane behind pedestrian', 'orientation': 'facing away from camera'}, {'id': 'obj_4', 'class': 'car', 'description': 'Red compact car stopped close to curb on the right side of the street', 'position': 'right mid-ground adjacent to curb and sidewalk area', 'orientation': 'facing left relative to camera'}, {'id': 'obj_5', 'class': 'building', 'description': 'Multi-story modern building with illuminated glass-fronted lobby/balcony', 'position': 'background across the street', 'orientation': 'front facade facing street'}, {'id': 'obj_6', 'class': 'crosswalk', 'description': 'Faded zebra crosswalk markings across the street surface', 'position': 'bottom and center of image spanning left to right', 'orientation': 'perpendicular to direction of traffic'}, {'id': 'obj_7', 'class': 'traffic_sign', 'description': 'Blue one-way/upward arrow sign with parking indication below', 'position': 'right background near building edge', 'orientation': 'facing toward roadway'}, {'id': 'obj_8', 'class': 'traffic_sign', 'description': 'Small round no-entry sign on barrier near building driveway', 'position': 'center-right background by building entrance/drive', 'orientation': 'facing toward oncoming vehicles from camera side'}, {'id': 'obj_9', 'class': 'streetlight', 'description': 'Tall streetlight pole providing illumination', 'position': 'left background near white vehicle', 'orientation': 'vertical'}]</t>
  </si>
  <si>
    <t>[{'id': 'obj_1', 'class': 'sidewalk', 'description': 'Brick-paved sidewalk occupying most of the image foreground and center.', 'position': 'center and lower portion of scene, extending into background', 'orientation': 'aligned roughly vertically in the image, leading away from the viewer'}, {'id': 'obj_2', 'class': 'curb', 'description': 'Raised curb with red-and-white painted edge separating sidewalk from street on the left.', 'position': 'left edge of scene, running vertically', 'orientation': 'parallel to sidewalk'}, {'id': 'obj_3', 'class': 'car', 'description': 'Dark-colored car parked along the curb with visible front end and yellow license plate.', 'position': 'upper left of scene adjacent to curb', 'orientation': 'parked parallel to curb, facing slightly toward the camera'}, {'id': 'obj_4', 'class': 'bollards', 'description': 'Two rectangular concrete bollards/posts near the right side of the upper sidewalk area.', 'position': 'upper right of scene, beside the walkway', 'orientation': 'upright vertical posts'}]</t>
  </si>
  <si>
    <t>[{'id': 'obj_1', 'class': 'sidewalk', 'description': 'Wide paved brick sidewalk in the foreground extending toward the background along the right side of the road.', 'position': 'dominant foreground and right side of scene', 'orientation': 'aligned parallel to roadway, receding into distance'}, {'id': 'obj_2', 'class': 'roadway', 'description': 'Multi-lane paved road with gentle left curve, running from lower left foreground toward upper center background.', 'position': 'left side of scene', 'orientation': 'curving away from camera'}, {'id': 'obj_3', 'class': 'car', 'description': 'Single visible car driving away from the camera with tail lights on.', 'position': 'left-center midground on roadway', 'orientation': 'moving away along the curve'}, {'id': 'obj_4', 'class': 'street_lights', 'description': 'Series of tall street lights illuminating the road and sidewalk.', 'position': 'left and upper portions of scene along roadway', 'orientation': 'vertical poles spaced along street'}, {'id': 'obj_5', 'class': 'trees', 'description': 'Row of mature trees lining the sidewalk and separating it from vegetated area.', 'position': 'right side and upper right of scene along sidewalk edge', 'orientation': 'vertical trunks, canopy extending over sidewalk'}, {'id': 'obj_6', 'class': 'curb', 'description': 'Roadside curb with alternating red and yellow paint along the roadway edge.', 'position': 'between roadway and sidewalk on left side of sidewalk', 'orientation': 'following road and sidewalk curve'}, {'id': 'obj_7', 'class': 'bus_stop_shelter', 'description': 'Small shelter-like structure along the sidewalk under the trees.', 'position': 'midground right-center beside sidewalk', 'orientation': 'facing roadway'}, {'id': 'obj_8', 'class': 'vegetation', 'description': 'Shrubs and low greenery in the area to the far right beyond the sidewalk and among the trees.', 'position': 'right edge and background', 'orientation': 'ground cover and bushes'}]</t>
  </si>
  <si>
    <t>[{'id': 'obj_1', 'class': 'pedestrian', 'description': 'Single person in dark clothing with green hoodie, slightly blurred, walking along right side of sidewalk carrying a bulky coat or garment.', 'position': 'right foreground on paved sidewalk, close to shrub border', 'orientation': 'facing away from camera, moving toward background/crosswalk'}, {'id': 'obj_2', 'class': 'sidewalk', 'description': 'Wide paved pedestrian sidewalk running from foreground to midground, separated from roadway by vegetation and railing.', 'position': 'occupies majority of lower and central image', 'orientation': 'aligned roughly bottom to top of image toward intersection'}, {'id': 'obj_3', 'class': 'road', 'description': 'Multi-lane roadway with vehicles and street lighting, adjacent to sidewalk, with intersection and crosswalk visible.', 'position': 'left and center background', 'orientation': 'running roughly left-right in the background'}, {'id': 'obj_4', 'class': 'cars', 'description': 'Multiple cars with headlights and taillights illuminated, some stopped near intersection.', 'position': 'left background near intersection', 'orientation': 'aligned with roadway, facing along traffic flow'}, {'id': 'obj_5', 'class': 'crosswalk', 'description': 'Painted zebra crosswalk connecting sidewalk across intersecting road.', 'position': 'center background where sidewalk meets roadway', 'orientation': 'perpendicular to main road'}, {'id': 'obj_6', 'class': 'traffic_sign', 'description': 'Yield (give-way) sign at intersection next to crosswalk.', 'position': 'center-right background near curb', 'orientation': 'facing approaching road traffic'}, {'id': 'obj_7', 'class': 'street_lights', 'description': 'Tall street lights illuminating road and sidewalk.', 'position': 'left and upper parts of scene', 'orientation': 'vertical poles'}, {'id': 'obj_8', 'class': 'vegetation', 'description': 'Bushes and plants separating sidewalk from road and along right edge by buildings.', 'position': 'left midground and right side of image', 'orientation': 'linear strips along boundaries'}, {'id': 'obj_9', 'class': 'guard_rail', 'description': 'Low metal railing along edge of vegetation strip between sidewalk and road.', 'position': 'left midground, parallel to sidewalk', 'orientation': 'running roughly up the image along sidewalk edge'}]</t>
  </si>
  <si>
    <t>[{'id': 'obj_1', 'class': 'cardboard_boxes', 'description': 'Several large upright cardboard boxes placed on the sidewalk adjacent to a hedge', 'position': 'right side of sidewalk, close to curb edge and greenery', 'orientation': 'standing vertically, leaning slightly toward hedge and street'}, {'id': 'obj_2', 'class': 'sidewalk', 'description': 'Paved brick sidewalk running parallel to the street', 'position': 'foreground and center of image', 'orientation': 'aligned along street direction'}, {'id': 'obj_3', 'class': 'street', 'description': 'Vehicle lane with moving cars next to the sidewalk', 'position': 'left side and upper part of the image', 'orientation': 'parallel to sidewalk'}, {'id': 'obj_4', 'class': 'cars', 'description': 'Multiple cars driving along the adjacent road', 'position': 'upper left background', 'orientation': 'moving along the street direction'}, {'id': 'obj_5', 'class': 'pole', 'description': 'Vertical black-and-white striped pole at edge of sidewalk near curb', 'position': 'left side near the curb', 'orientation': 'vertical'}, {'id': 'obj_6', 'class': 'vegetation', 'description': 'Tall hedge or bushes lining edge of sidewalk behind boxes', 'position': 'right edge of the image', 'orientation': 'linear along sidewalk'}, {'id': 'obj_7', 'class': 'manhole_cover', 'description': 'Circular manhole cover set into the sidewalk surface', 'position': 'left side of sidewalk near curb', 'orientation': 'horizontal on ground'}]</t>
  </si>
  <si>
    <t>[{'id': 'obj_1', 'class': 'sidewalk', 'description': 'Paved brick sidewalk running from foreground to background along the right side of the street', 'position': 'occupies most of the lower and central part of the image', 'orientation': 'extends depth-wise away from the camera'}, {'id': 'obj_2', 'class': 'cardboard_box', 'description': 'Large upright cardboard box leaning slightly toward the sidewalk edge near the hedge', 'position': 'right-center of image against the hedge', 'orientation': 'front face toward camera, blocking lateral width of sidewalk'}, {'id': 'obj_3', 'class': 'cardboard_box', 'description': 'Second even larger cardboard box positioned behind and partly leaning, forming a bulky obstacle', 'position': 'mid-right behind obj_2, between sidewalk and hedge', 'orientation': 'angled, protruding slightly into walking path'}, {'id': 'obj_4', 'class': 'hedge', 'description': 'Dense green hedge forming the right boundary of the sidewalk', 'position': 'right edge of image, running vertically', 'orientation': 'parallel to sidewalk'}, {'id': 'obj_5', 'class': 'car', 'description': 'White car on the street adjacent to the curb, partially visible', 'position': 'upper-left background on roadway', 'orientation': 'aligned with direction of the road'}, {'id': 'obj_6', 'class': 'car', 'description': 'Another light-colored car ahead of the white car near the crosswalk/curb area', 'position': 'upper-left/center background', 'orientation': 'aligned with roadway'}, {'id': 'obj_7', 'class': 'street_pole', 'description': 'Striped black-and-white pole at curb edge between sidewalk and street', 'position': 'left-center of image near curb line', 'orientation': 'vertical'}, {'id': 'obj_8', 'class': 'manhole_cover', 'description': 'Circular manhole or utility cover embedded in sidewalk paving', 'position': 'lower-left on sidewalk near curb', 'orientation': 'horizontal'}, {'id': 'obj_9', 'class': 'curb', 'description': 'Raised curb separating sidewalk from street, with red-white curb paint', 'position': 'left background edge between sidewalk and roadway', 'orientation': 'horizontal, along road'}]</t>
  </si>
  <si>
    <t>[{'id': 'obj_1', 'class': 'sidewalk', 'description': 'Wide brick-paved sidewalk extending into the distance from foreground center toward background center', 'position': 'dominant central area of the image', 'orientation': 'aligned roughly parallel to the roadway, receding away from the camera'}, {'id': 'obj_2', 'class': 'road', 'description': 'Two-lane roadway with vehicles and lane markings running along the right side of the scene', 'position': 'right side of image, parallel to sidewalk', 'orientation': 'extending from lower-right toward upper-right background'}, {'id': 'obj_3', 'class': 'car', 'description': 'Dark-colored car with headlights on traveling along the road', 'position': 'mid-right of image on roadway', 'orientation': 'moving away from camera along the road'}, {'id': 'obj_4', 'class': 'car', 'description': 'Second car further in the background with headlights on', 'position': 'upper-right background on roadway', 'orientation': 'aligned with traffic flow along the road'}, {'id': 'obj_5', 'class': 'railing', 'description': 'Metal pedestrian safety railing running along the left edge of the sidewalk near vegetation', 'position': 'left side of sidewalk, stretching from foreground left to mid-left background', 'orientation': 'parallel to the sidewalk'}, {'id': 'obj_6', 'class': 'fire_hydrant', 'description': 'Red fire hydrant next to railing at edge of sidewalk', 'position': 'left side, near lower-left quadrant', 'orientation': 'upright, adjacent to curb/soil strip'}, {'id': 'obj_7', 'class': 'tree', 'description': 'Multiple street trees lining both sides of sidewalk and road', 'position': 'left and right sides of image, trunks at sidewalk/road edges', 'orientation': 'vertical, casting long shadows on sidewalk'}, {'id': 'obj_8', 'class': 'street_light', 'description': 'Street lighting illuminating sidewalk and road', 'position': 'mostly upper areas along sidewalk and road (partially visible as light sources and poles)', 'orientation': 'vertical poles with overhead luminaires'}, {'id': 'obj_9', 'class': 'vegetation', 'description': 'Bushes and planted strip between sidewalk and wall on the left, and low plants along the road on the right', 'position': 'left side behind railing and right roadside median', 'orientation': 'stationary landscaping'}]</t>
  </si>
  <si>
    <t>[{'id': 'obj_1', 'class': 'sidewalk', 'description': 'Paved pedestrian sidewalk running from foreground to background along the left side of the parked cars', 'position': 'occupies most of the left and central part of the image', 'orientation': 'aligned roughly from bottom to top of the image'}, {'id': 'obj_2', 'class': 'car', 'description': 'Dark-colored car parked along the curb closest to the camera', 'position': 'right-center foreground next to curb', 'orientation': 'parked parallel to sidewalk facing away from the camera'}, {'id': 'obj_3', 'class': 'car', 'description': 'Additional parked cars lined up along the street behind the first car', 'position': 'right midground and background along curb', 'orientation': 'parked parallel to sidewalk facing away from the camera'}, {'id': 'obj_4', 'class': 'street', 'description': 'Narrow roadway adjacent to the curb with painted markings and a red-painted curb section', 'position': 'right portion of the image beside parked cars', 'orientation': 'extends from bottom-right to upper-right background'}, {'id': 'obj_5', 'class': 'streetlight', 'description': 'Tall streetlights illuminating the sidewalk and street', 'position': 'one near center-left midground, others further in background', 'orientation': 'vertical poles'}, {'id': 'obj_6', 'class': 'building', 'description': 'Multi-story residential or office buildings flanking the street', 'position': 'left and right edges of the image, and in the distant background', 'orientation': 'vertical facades along street'}, {'id': 'obj_7', 'class': 'vegetation', 'description': 'Dense hedge and small plants along the left edge of the sidewalk', 'position': 'left side foreground and midground', 'orientation': 'runs parallel to the sidewalk'}, {'id': 'obj_8', 'class': 'wooden_panel', 'description': 'Large flat wooden board lying partly on the sidewalk and partly in the gutter near the curb', 'position': 'bottom-center of the image extending toward the curb', 'orientation': 'roughly horizontal, low on the ground'}, {'id': 'obj_9', 'class': 'wooden_panel', 'description': 'Another upright wooden panel or cabinet with metal frame leaning near the hedge and streetlight base', 'position': 'left-center near base of pole, slightly above ground', 'orientation': 'standing vertically, slightly tilted toward sidewalk'}, {'id': 'obj_10', 'class': 'metal_frame', 'description': 'Metal frame or rack adjacent to the upright wooden panel', 'position': 'left-center, close to obj_9 and hedge', 'orientation': 'vertical frame leaning slightly'}]</t>
  </si>
  <si>
    <t>[{'id': 'obj_1', 'class': 'sidewalk_path', 'description': 'Central paved path extending from foreground to background, likely for pedestrians or mixed use', 'position': 'center of image from bottom edge receding into distance', 'orientation': 'aligned roughly away from camera into background'}, {'id': 'obj_2', 'class': 'sidewalk_paved', 'description': 'Brick-paved sidewalk running parallel to main path on the right side', 'position': 'right side of image, from lower-middle to background', 'orientation': 'parallel to central path'}, {'id': 'obj_3', 'class': 'cars', 'description': 'Multiple cars stopped at a traffic light along the roadway parallel to the path', 'position': 'left midground, along left edge of frame', 'orientation': 'facing away from camera, aligned with road'}, {'id': 'obj_4', 'class': 'traffic_lights', 'description': 'Red traffic light controlling vehicle flow at intersection', 'position': 'left mid-background, above cars', 'orientation': 'facing toward traffic lane'}, {'id': 'obj_5', 'class': 'trees', 'description': 'Mature trees and shrubs lining both sides of the path and roadway', 'position': 'both sides of image, primarily midground and background', 'orientation': 'upright, providing canopy over parts of sidewalk and road'}, {'id': 'obj_6', 'class': 'buildings', 'description': 'Residential or mixed-use buildings with parked vehicles in front', 'position': 'right background', 'orientation': 'front facades roughly facing path'}, {'id': 'obj_7', 'class': 'street_lighting', 'description': 'Illumination from out-of-frame or partially visible streetlights lighting the path and road', 'position': 'light spread across upper and mid portions of scene', 'orientation': 'downward onto sidewalk and roadway'}]</t>
  </si>
  <si>
    <t>[{'id': 'obj_1', 'class': 'sidewalk', 'description': 'Brick-paved pedestrian sidewalk filling most of the frame', 'position': 'entire foreground and mid-ground', 'orientation': 'extends from bottom toward upper part of image'}, {'id': 'obj_2', 'class': 'puddle', 'description': 'Standing water puddle on the sidewalk reflecting a pole and surroundings', 'position': 'center-upper portion of the sidewalk', 'orientation': 'flat on pavement'}, {'id': 'obj_3', 'class': 'pole', 'description': 'Vertical pole with dark and light bands near right edge, behind puddle', 'position': 'upper-right edge of scene, adjacent to sidewalk', 'orientation': 'vertical'}, {'id': 'obj_4', 'class': 'fence', 'description': 'Low fence with vegetation along left edge', 'position': 'left side of sidewalk', 'orientation': 'runs along sidewalk'}, {'id': 'obj_5', 'class': 'shadow', 'description': 'Human-like shadow cast on lower-right of the sidewalk, likely the camera holder', 'position': 'lower-right foreground', 'orientation': 'shadow stretching upwards'}]</t>
  </si>
  <si>
    <t>[{'id': 'obj_1', 'class': 'car', 'description': 'White Mazda CX-5 SUV parked at an angle with right wheels on the sidewalk and left wheels close to the curb.', 'position': 'foreground center-right, straddling curb between street and sidewalk', 'orientation': 'parked facing away from camera, slightly angled toward right'}, {'id': 'obj_2', 'class': 'sidewalk', 'description': 'Paved pedestrian sidewalk adjacent to the street where the car is partly parked.', 'position': 'right side and midground of image', 'orientation': 'runs roughly from bottom-right toward upper-left'}, {'id': 'obj_3', 'class': 'roadway', 'description': 'Asphalt vehicle lane separated from sidewalk by a curb with red-white paint.', 'position': 'bottom-left and lower portion of image', 'orientation': 'parallel to the sidewalk'}, {'id': 'obj_4', 'class': 'building', 'description': 'Multi-story residential or mixed-use building in the background.', 'position': 'right background', 'orientation': 'faces toward the street'}, {'id': 'obj_5', 'class': 'trees', 'description': 'Street trees lining the sidewalk, providing shade and partial cover.', 'position': 'upper-left and upper-middle background', 'orientation': 'vertical along sidewalk'}]</t>
  </si>
  <si>
    <t>[{'id': 'obj_1', 'class': 'sidewalk', 'description': 'Paved pedestrian sidewalk running from bottom foreground toward the upper center of the image', 'position': 'occupies most of the lower and central part of the scene', 'orientation': 'extends roughly bottom-to-top of the frame'}, {'id': 'obj_2', 'class': 'bush', 'description': 'Dense green bush protruding into the middle of the sidewalk adjacent to the stone wall', 'position': 'right-center of the image, encroaching across the sidewalk', 'orientation': 'grows outward horizontally from the right-side planting strip'}, {'id': 'obj_3', 'class': 'wall', 'description': 'Low stone retaining wall bordering the right side of the sidewalk', 'position': 'right side of the scene, running from foreground to background', 'orientation': 'parallel to sidewalk'}, {'id': 'obj_4', 'class': 'car', 'description': 'White station wagon parked along the curb on the left side of the street', 'position': 'left-middle of the image beside the sidewalk', 'orientation': 'parked parallel to curb'}, {'id': 'obj_5', 'class': 'traffic_sign', 'description': 'Yield sign on a pole near the curb', 'position': 'upper-left quadrant near the parked car', 'orientation': 'facing toward the roadway'}, {'id': 'obj_6', 'class': 'traffic_sign', 'description': 'Blue and white directional and parking signs on poles', 'position': 'upper-center background near roadway', 'orientation': 'facing oncoming traffic'}, {'id': 'obj_7', 'class': 'building', 'description': 'Multi-story residential buildings in the background with illuminated windows', 'position': 'occupying upper portion of the image', 'orientation': 'faces street and sidewalk'}, {'id': 'obj_8', 'class': 'street_lighting', 'description': 'Ambient street lighting illuminating the sidewalk and road at night', 'position': 'out of frame but affecting whole scene', 'orientation': 'overhead'}]</t>
  </si>
  <si>
    <t>[{'id': 'obj_1', 'class': 'sidewalk', 'description': 'Brick-paved sidewalk in the foreground and right side of the image', 'position': 'foreground and right side of scene, parallel to roadway', 'orientation': 'extends from bottom-right toward mid-left background'}, {'id': 'obj_2', 'class': 'roadway', 'description': 'Two-lane urban street with a crosswalk and curb', 'position': 'left and central background of the image', 'orientation': 'runs horizontally across the scene'}, {'id': 'obj_3', 'class': 'car', 'description': 'Blue car driving away from the camera near a crosswalk', 'position': 'center-right background on the road', 'orientation': 'facing away from camera, aligned with lane direction'}, {'id': 'obj_4', 'class': 'car', 'description': 'Yellow car parked on the far side of the street', 'position': 'left-center background by curb', 'orientation': 'parked parallel to curb'}, {'id': 'obj_5', 'class': 'car', 'description': 'Small dark car parked further back along the street', 'position': 'far-left background by curb', 'orientation': 'parked parallel to curb'}, {'id': 'obj_6', 'class': 'traffic_sign', 'description': 'Circular no-entry or restriction sign mounted on a pole', 'position': 'right-center of image near curb between sidewalk and road', 'orientation': 'facing toward oncoming road users'}, {'id': 'obj_7', 'class': 'trash_bin', 'description': 'Light-colored plastic trash bin lying on its side amid debris', 'position': 'foreground-left on the edge of the sidewalk next to the curb', 'orientation': 'tipped over, opening facing slightly upward/right'}, {'id': 'obj_8', 'class': 'vegetation_debris', 'description': 'Pile of cut branches, leaves, and plant material spread along sidewalk edge', 'position': 'foreground and mid-left along curb line', 'orientation': 'elongated strip parallel to curb'}, {'id': 'obj_9', 'class': 'building', 'description': 'Multi-story residential/commercial buildings with balconies and ground-floor units', 'position': 'background across the street', 'orientation': 'front facades facing the road'}]</t>
  </si>
  <si>
    <t>[{'id': 'obj_1', 'class': 'sidewalk', 'description': 'Brick-paved sidewalk extending from bottom center toward upper center of the image', 'position': 'foreground and midground center of scene', 'orientation': 'aligned roughly parallel to roadway'}, {'id': 'obj_2', 'class': 'roadway', 'description': 'Asphalt road with white edge marking running along the left side of the sidewalk', 'position': 'left side of image', 'orientation': 'parallel to sidewalk'}, {'id': 'obj_3', 'class': 'car', 'description': 'Dark-colored car parked along curb near upper left of frame', 'position': 'upper left, adjacent to sidewalk and road edge', 'orientation': 'aligned along direction of road'}, {'id': 'obj_4', 'class': 'building_structure', 'description': 'Wall and columns forming the edge of a building on the right side of the sidewalk', 'position': 'right side of image', 'orientation': 'parallel to sidewalk'}, {'id': 'obj_5', 'class': 'bollard', 'description': 'Short vertical post separating sidewalk from building edge near upper right', 'position': 'upper right edge of sidewalk', 'orientation': 'vertical'}, {'id': 'obj_6', 'class': 'pavement_defect', 'description': 'Irregular, darker patch or possible broken area on sidewalk surface', 'position': 'right side of sidewalk, mid-to-upper right of frame', 'orientation': 'n/a'}]</t>
  </si>
  <si>
    <t>[{'id': 'obj_1', 'class': 'sidewalk', 'description': 'Paved brick sidewalk running from foreground toward background along the right side of the road', 'position': 'occupies most of the bottom and middle of the frame', 'orientation': 'aligned roughly front-to-back in the image'}, {'id': 'obj_2', 'class': 'cardboard_boxes', 'description': 'Two large upright cardboard boxes placed on the sidewalk next to a hedge and low wall', 'position': 'right side of the sidewalk, mid-right of the image', 'orientation': 'standing vertically, facing slightly toward the camera'}, {'id': 'obj_3', 'class': 'hedge', 'description': 'Dense green hedge along a low stone wall bordering the sidewalk', 'position': 'right edge of the image running from mid to upper right', 'orientation': 'parallel to the sidewalk'}, {'id': 'obj_4', 'class': 'roadway', 'description': 'Vehicular lane adjacent to the sidewalk with a curb and red-white painted edge', 'position': 'left side and upper left of the image', 'orientation': 'parallel to the sidewalk'}, {'id': 'obj_5', 'class': 'car', 'description': 'White car driving along the road, partially visible', 'position': 'upper left of the image on the roadway', 'orientation': 'moving from right to left relative to the camera'}, {'id': 'obj_6', 'class': 'street_pole', 'description': 'Striped black-and-white pole on curb between sidewalk and road', 'position': 'left-center edge of sidewalk near curb', 'orientation': 'vertical'}, {'id': 'obj_7', 'class': 'manhole_cover', 'description': 'Circular manhole cover embedded in the sidewalk surface', 'position': 'left side of the sidewalk near bottom-left quadrant', 'orientation': 'horizontal on pavement'}]</t>
  </si>
  <si>
    <t>[{'id': 'obj_1', 'class': 'sidewalk', 'description': 'Wide paved pedestrian sidewalk running from foreground to background, centered in image', 'position': 'central foreground to midground', 'orientation': 'aligned along image vertical axis, leading toward intersection'}, {'id': 'obj_2', 'class': 'road', 'description': 'Multi-lane road with moving/queued vehicles, parallel to sidewalk on the left', 'position': 'left side midground to background', 'orientation': 'extends diagonally from left foreground toward center background'}, {'id': 'obj_3', 'class': 'car', 'description': 'Several cars traveling or queued on the road with headlights and taillights visible', 'position': 'left midground and background', 'orientation': 'generally facing away from camera along road'}, {'id': 'obj_4', 'class': 'street_light', 'description': 'Tall street lamps illuminating road and sidewalk', 'position': 'left side and right midground', 'orientation': 'vertical'}, {'id': 'obj_5', 'class': 'intersection', 'description': 'Road intersection with pedestrian crosswalk markings and traffic island at end of sidewalk', 'position': 'center background', 'orientation': 'perpendicular crossing relative to sidewalk'}, {'id': 'obj_6', 'class': 'vegetation', 'description': 'Bushes and plant beds with low metal rail separating sidewalk from vegetation on left and right', 'position': 'both sides of sidewalk from foreground to midground', 'orientation': 'linear along sidewalk edges'}, {'id': 'obj_7', 'class': 'traffic_sign', 'description': 'Yield or priority traffic sign near the crosswalk', 'position': 'center-right background near intersection', 'orientation': 'facing incoming road traffic'}]</t>
  </si>
  <si>
    <t>[{'id': 'obj_1', 'class': 'sidewalk', 'description': 'Brick-paved sidewalk in the foreground and right side of the image', 'position': 'foreground and right side of scene, parallel to the roadway', 'orientation': 'extends from bottom-right toward upper-right'}, {'id': 'obj_2', 'class': 'road', 'description': 'Two-lane urban road with visible zebra crosswalk', 'position': 'middle and left side of the image beyond the curb', 'orientation': 'runs horizontally across the image'}, {'id': 'obj_3', 'class': 'car', 'description': 'Blue car driving along the road', 'position': 'mid-right of the image on the roadway', 'orientation': 'moving from right to left'}, {'id': 'obj_4', 'class': 'car', 'description': 'Yellow car parked or moving in the opposite lane behind the blue car', 'position': 'mid-center of the image on the roadway', 'orientation': 'roughly aligned with road direction'}, {'id': 'obj_5', 'class': 'car', 'description': 'Dark car parked along the far curb', 'position': 'left-middle of the image near building front', 'orientation': 'parallel to curb'}, {'id': 'obj_6', 'class': 'vegetation', 'description': 'Bushes and plants along the sidewalk edge, partially disturbed', 'position': 'foreground and mid-right along the curb line', 'orientation': 'linear strip following sidewalk edge'}, {'id': 'obj_7', 'class': 'trash_bin_or_planter', 'description': 'White cylindrical container (likely trash bin or planter) lying on its side among plants', 'position': 'foreground-right on sidewalk edge close to street', 'orientation': 'tipped over, opening facing left'}, {'id': 'obj_8', 'class': 'sign_pole', 'description': 'Metal pole with traffic/prohibition sign', 'position': 'right side near edge of sidewalk adjacent to the road', 'orientation': 'vertical'}, {'id': 'obj_9', 'class': 'building', 'description': 'Multi-story urban residential or mixed-use buildings with balconies and lit windows', 'position': 'background across the street', 'orientation': 'fronts facing the road'}]</t>
  </si>
  <si>
    <t>[{'id': 'obj_1', 'class': 'electric_scooter', 'description': 'Stand-up shared electric scooter parked upright within a marked scooter parking box on the paved sidewalk.', 'position': 'foreground center on paved area near curb separating grass and sidewalk', 'orientation': 'leaning slightly toward the right side of the image, facing away from the camera'}, {'id': 'obj_2', 'class': 'sidewalk', 'description': 'Paved brick sidewalk with painted scooter symbol and white rectangular markings indicating a scooter parking bay.', 'position': 'occupies most of the lower and central part of the image', 'orientation': 'runs horizontally across the image'}, {'id': 'obj_3', 'class': 'grass', 'description': 'Rectangular patch of grass bordered by a curb next to the sidewalk.', 'position': 'right-middle of the image', 'orientation': 'parallel to the sidewalk edge'}, {'id': 'obj_4', 'class': 'hedge', 'description': 'Tall dark hedge forming a boundary behind the grass and sidewalk.', 'position': 'background across the width of the image', 'orientation': 'horizontal line across the back'}, {'id': 'obj_5', 'class': 'fence', 'description': 'Tall wire or mesh sports fence or barrier behind the hedge and trees.', 'position': 'right background', 'orientation': 'vertical posts with horizontal mesh sections'}, {'id': 'obj_6', 'class': 'tree', 'description': 'Tall, narrow conifer-like trees near the fence.', 'position': 'right background', 'orientation': 'vertical'}, {'id': 'obj_7', 'class': 'light_source', 'description': 'Bright artificial light source illuminating the scene from the right side, possibly a street or park lamp (not fully visible, only glare).', 'position': 'far right edge, mostly off-frame', 'orientation': 'light projecting across the scene'}]</t>
  </si>
  <si>
    <t>[{'id': 'obj_1', 'class': 'sidewalk', 'description': 'Paved brick sidewalk running from foreground to background along the right side of a street', 'position': 'occupies most of the lower and central part of the image', 'orientation': 'aligned roughly from bottom toward top of image'}, {'id': 'obj_2', 'class': 'cardboard_box', 'description': 'Large upright cardboard box placed on the sidewalk adjacent to a wall and bushes', 'position': 'right-center of the image, on the pedestrian path', 'orientation': 'standing vertically with broad side facing the camera'}, {'id': 'obj_3', 'class': 'large_object', 'description': 'Large flat object, likely a discarded mattress or large panel, leaning against the wall and partly behind the cardboard box on the sidewalk', 'position': 'right-center to upper-right, directly behind obj_2 on the sidewalk', 'orientation': 'leaning diagonally against the wall/bushes'}, {'id': 'obj_4', 'class': 'bush', 'description': 'Dense green vegetation protruding over the sidewalk from the right side', 'position': 'right side of image above the boxes', 'orientation': 'overhanging the pedestrian path'}, {'id': 'obj_5', 'class': 'car', 'description': 'White car on the street parallel to the sidewalk', 'position': 'upper-left portion of the image on the road', 'orientation': 'oriented roughly left-right'}, {'id': 'obj_6', 'class': 'car', 'description': 'White SUV-like vehicle slightly farther ahead on the road', 'position': 'upper-center of the image on the road near a corner', 'orientation': 'angled slightly away from the camera'}, {'id': 'obj_7', 'class': 'roadway', 'description': 'Paved street adjacent to the sidewalk with visible curb and traffic', 'position': 'upper-left and upper-center of the image', 'orientation': 'running roughly left-right'}, {'id': 'obj_8', 'class': 'utility_pole', 'description': 'Vertical pole with black-and-white bands near the curb', 'position': 'near the center-top border, between sidewalk and street', 'orientation': 'vertical'}]</t>
  </si>
  <si>
    <t>[{'id': 'obj_1', 'class': 'crosswalk', 'description': 'Painted white zebra pedestrian crosswalk across the street in the foreground-left area', 'position': 'foreground left, spanning from bottom edge toward center', 'orientation': 'perpendicular to vehicle travel direction'}, {'id': 'obj_2', 'class': 'roadway', 'description': 'Asphalt roadway at an intersection, illuminated by street lighting', 'position': 'occupies most of the image from foreground to midground', 'orientation': 'runs roughly left-right with intersecting side street'}, {'id': 'obj_3', 'class': 'cloth_debris', 'description': 'Bundle of colorful fabric or clothing lying directly on the roadway close to the crosswalk', 'position': 'lower-center of the image, slightly right of the crosswalk', 'orientation': 'flat on the ground'}, {'id': 'obj_4', 'class': 'small_debris', 'description': 'Small object or piece of debris (likely plastic or metal) lying on the roadway near the fabric bundle', 'position': 'mid-lower center-right of the image near obj_3', 'orientation': 'flat on the ground'}, {'id': 'obj_5', 'class': 'curb', 'description': 'Raised curb with some damage and red-white paint marking the street edge', 'position': 'bottom edge, extending from left toward center-right', 'orientation': 'roughly horizontal across the image'}, {'id': 'obj_6', 'class': 'parked_cars', 'description': 'Multiple parked cars along the far side of the intersection and side street', 'position': 'background left and center', 'orientation': 'aligned along the curb'}, {'id': 'obj_7', 'class': 'street_signs', 'description': 'Parking and other traffic-related signs mounted on poles near the intersection', 'position': 'mid-background center near tree and sidewalk', 'orientation': 'upright'}, {'id': 'obj_8', 'class': 'street_lighting', 'description': 'Street lights illuminating the road and sidewalk', 'position': 'upper background, light cast over entire scene', 'orientation': 'upright poles'}, {'id': 'obj_9', 'class': 'building', 'description': 'Urban residential or mixed-use buildings bordering the intersection', 'position': 'right and background left', 'orientation': 'vertical facades facing the street'}]</t>
  </si>
  <si>
    <t>[{'id': 'obj_1', 'class': 'sidewalk', 'description': 'Brick-paved pedestrian sidewalk covering most of the frame', 'position': 'entire foreground and midground', 'orientation': 'extends from bottom center toward top center'}, {'id': 'obj_2', 'class': 'water_puddle', 'description': 'Shallow puddle of standing water on the sidewalk reflecting nearby pole', 'position': 'upper-central area of the sidewalk', 'orientation': 'flat on ground surface'}, {'id': 'obj_3', 'class': 'pole', 'description': 'Vertical pole with contrasting bands near its base, adjacent to sidewalk', 'position': 'upper-right edge near puddle', 'orientation': 'upright'}, {'id': 'obj_4', 'class': 'pedestrian_shadow', 'description': 'Shadow of a person extending into lower-right of frame, indicating someone nearby on the walkway', 'position': 'lower-right corner', 'orientation': 'shadow extending diagonally toward center'}, {'id': 'obj_5', 'class': 'fence_vegetation', 'description': 'Low fence and vegetation along edge of sidewalk', 'position': 'left edge of image', 'orientation': 'runs along sidewalk edge'}]</t>
  </si>
  <si>
    <t>[{'id': 'obj_1', 'class': 'sidewalk', 'description': 'Paved brick sidewalk running from foreground to background along the left side of parked cars', 'position': 'occupies most of the left half of the image from bottom foreground into depth', 'orientation': 'longitudinal along street direction'}, {'id': 'obj_2', 'class': 'car', 'description': 'Dark-colored car parked along curb closest to camera on right side', 'position': 'right side, lower-middle of image adjacent to curb', 'orientation': 'parked parallel to curb facing away from camera'}, {'id': 'obj_3', 'class': 'car', 'description': 'Additional parked cars further down the street', 'position': 'right side, mid-to-background along curb', 'orientation': 'parked parallel to curb'}, {'id': 'obj_4', 'class': 'building', 'description': 'Residential or mixed-use buildings on both sides of the street', 'position': 'left and right edges, extending into background', 'orientation': 'aligned along the street'}, {'id': 'obj_5', 'class': 'street_light', 'description': 'Tall streetlights illuminating the sidewalk and street', 'position': 'centerline extending into background', 'orientation': 'vertical'}, {'id': 'obj_6', 'class': 'vegetation', 'description': 'Tall trimmed hedge along left side of sidewalk', 'position': 'left side, mid-height along wall', 'orientation': 'linear along sidewalk'}, {'id': 'obj_7', 'class': 'door_panel', 'description': 'Large wooden door or panel lying partly on the sidewalk and partly over the curb into the roadway', 'position': 'bottom-right quadrant, spanning from sidewalk into curb area', 'orientation': 'lying flat, diagonal relative to curb'}, {'id': 'obj_8', 'class': 'debris', 'description': 'Miscellaneous items/metal frame and small boxy structure placed on sidewalk near hedge and wall', 'position': 'left of center, mid-lower area abutting wall and hedge', 'orientation': 'leaning against wall/hedge'}, {'id': 'obj_9', 'class': 'curb', 'description': 'Raised curb painted red and white delineating sidewalk from street', 'position': 'right edge from lower-right towards middle', 'orientation': 'longitudinal along street'}]</t>
  </si>
  <si>
    <t>[{'id': 'obj_1', 'class': 'sidewalk', 'description': 'Paved pedestrian sidewalk running along the left side of the street', 'position': 'left side of image, parallel to the roadway', 'orientation': 'extends from bottom foreground to upper background'}, {'id': 'obj_2', 'class': 'road', 'description': 'Two-way urban street with parking lane and road markings', 'position': 'right side and center of image', 'orientation': 'extends from bottom right foreground to upper background'}, {'id': 'obj_3', 'class': 'car', 'description': 'Dark-colored sedan parked next to curb by the obstructed sidewalk section', 'position': 'right-center of image adjacent to the curb', 'orientation': 'aligned with street, facing away from camera'}, {'id': 'obj_4', 'class': 'parked_cars', 'description': 'Additional parked cars further along the street', 'position': 'right side mid-to-background along curb', 'orientation': 'aligned with street, facing away from camera'}, {'id': 'obj_5', 'class': 'streetlight', 'description': 'Tall streetlights illuminating the road and sidewalk', 'position': 'center-left and background along sidewalk edge', 'orientation': 'vertical'}, {'id': 'obj_6', 'class': 'vegetation_hedge', 'description': 'Tall hedge lining the left side of the sidewalk', 'position': 'left edge of image along sidewalk', 'orientation': 'parallel to sidewalk'}, {'id': 'obj_7', 'class': 'debris_object', 'description': 'Large rectangular wooden or metal panel with handle, partially on sidewalk and extending over curb into street edge', 'position': 'bottom-center, spanning sidewalk and curb area', 'orientation': 'lying mostly flat with one end propped up'}]</t>
  </si>
  <si>
    <t>[{'id': 'obj_1', 'class': 'sidewalk', 'description': 'Paved brick sidewalk occupying foreground and lower half of image', 'position': 'foreground and center of scene', 'orientation': 'parallel to roadway, extending from bottom toward upper part of image'}, {'id': 'obj_2', 'class': 'cardboard_boxes', 'description': 'Two large upright cardboard boxes placed on the sidewalk adjacent to hedge', 'position': 'right side of sidewalk, mid-right of image', 'orientation': 'standing vertically against hedge, approximately parallel to camera plane'}, {'id': 'obj_3', 'class': 'hedge', 'description': 'Dense green hedge forming boundary along right side of sidewalk', 'position': 'right edge of scene', 'orientation': 'runs longitudinally along the sidewalk'}, {'id': 'obj_4', 'class': 'roadway', 'description': 'Vehicle lane running parallel to sidewalk with visible curb and red-white painted edge', 'position': 'left side and background', 'orientation': 'extends from lower left toward upper left of image'}, {'id': 'obj_5', 'class': 'car', 'description': 'White car driving along roadway, partially motion-blurred', 'position': 'upper left of image on the road', 'orientation': 'moving from right to left relative to camera'}, {'id': 'obj_6', 'class': 'street_pole', 'description': 'Vertical pole with black and white bands near curb between sidewalk and road', 'position': 'left-center of image near curb', 'orientation': 'vertical'}, {'id': 'obj_7', 'class': 'manhole_cover', 'description': 'Circular manhole cover set into the sidewalk pavement', 'position': 'left side of sidewalk, lower-left quadrant', 'orientation': 'horizontal, flush with pavement'}]</t>
  </si>
  <si>
    <t>[{'id': 'obj_1', 'class': 'sidewalk', 'description': 'Wide paved pedestrian sidewalk extending from foreground to background along the right side of a street', 'position': 'occupies most of the center and lower part of the image', 'orientation': 'aligned away from the camera into the distance'}, {'id': 'obj_2', 'class': 'parked_cars', 'description': 'Row of parked cars along the curb adjacent to the sidewalk', 'position': 'right side of the image along the roadway edge', 'orientation': 'parallel to the sidewalk facing away from the camera'}, {'id': 'obj_3', 'class': 'trees', 'description': 'Line of mature trees providing canopy over sidewalk and parked cars', 'position': 'left and right sides, forming overhead cover along the walkway', 'orientation': 'vertical trunks with branches spreading above the walkway and street'}, {'id': 'obj_4', 'class': 'fence', 'description': 'Metal fence bordering an adjacent area off the sidewalk', 'position': 'left side of the image, parallel to the sidewalk', 'orientation': 'runs away from the camera along the sidewalk'}, {'id': 'obj_5', 'class': 'fire_hydrant', 'description': 'Red fire hydrant next to the fence', 'position': 'left side of sidewalk near foreground', 'orientation': 'vertical'}, {'id': 'obj_6', 'class': 'roadway', 'description': 'Street with vehicles, visible mostly through parked cars and distant traffic lights', 'position': 'right side beyond the curb line', 'orientation': 'runs parallel to the sidewalk'}, {'id': 'obj_7', 'class': 'traffic_lights', 'description': 'Illuminated traffic lights controlling the intersection ahead', 'position': 'upper-right background of the image', 'orientation': 'facing along the roadway direction'}, {'id': 'obj_8', 'class': 'pedestrian', 'description': 'Distant pedestrian walking along the sidewalk', 'position': 'center background along the sidewalk axis', 'orientation': 'moving away from the camera'}, {'id': 'obj_9', 'class': 'manhole_cover', 'description': 'Metal cover embedded in the sidewalk surface', 'position': 'right-center of the sidewalk in the mid-ground', 'orientation': 'flush with pavement'}]</t>
  </si>
  <si>
    <t>[{'id': 'obj_1', 'class': 'sidewalk', 'description': 'Paved pedestrian sidewalk extending into the background, made of rectangular dark tiles.', 'position': 'occupies most of the frame from bottom foreground to upper mid-right background', 'orientation': "aligned lengthwise with the camera's viewing direction"}, {'id': 'obj_2', 'class': 'damaged_pavement', 'description': 'Section of sidewalk tiles lifted and cracked, one tile tilted upward forming a gap and step.', 'position': 'lower central area of the image', 'orientation': 'crack roughly perpendicular to walking direction'}, {'id': 'obj_3', 'class': 'planting_bed', 'description': 'Soil-filled planting bed with edging bordering the left side of the sidewalk.', 'position': 'left edge of the image, extending from lower left upward', 'orientation': 'parallel to sidewalk'}, {'id': 'obj_4', 'class': 'street_tree', 'description': 'Tree trunk emerging from planting strip along left side of the sidewalk.', 'position': 'upper left quadrant', 'orientation': 'vertical'}, {'id': 'obj_5', 'class': 'street_light_shadow', 'description': 'Strong diagonal shadow cast across the sidewalk, possibly from a pole or person.', 'position': 'from lower center to upper right area of the image', 'orientation': 'diagonal across walking path'}]</t>
  </si>
  <si>
    <t>[{'id': 'obj_1', 'class': 'paved_walkway', 'description': 'Brick-pattern pedestrian path filling most of the frame', 'position': 'entire scene, extending from foreground to background', 'orientation': 'aligned roughly along vertical axis of image'}, {'id': 'obj_2', 'class': 'puddle', 'description': 'Large standing water puddle on the walkway reflecting nearby pole or structure', 'position': 'center-upper part of the walkway', 'orientation': 'horizontal irregular shape'}, {'id': 'obj_3', 'class': 'pole', 'description': 'Vertical pole at upper-right edge near end of walkway', 'position': 'upper-right edge of image', 'orientation': 'vertical'}, {'id': 'obj_4', 'class': 'fence', 'description': 'Low fence with vegetation along left side of walkway', 'position': 'left edge running from lower-left toward upper-left', 'orientation': 'parallel to walkway'}]</t>
  </si>
  <si>
    <t>[{'id': 'obj_1', 'class': 'sidewalk', 'description': 'Paved brick sidewalk running from bottom center toward the upper right of the image alongside the street', 'position': 'foreground and right side of scene', 'orientation': 'aligned parallel to roadway'}, {'id': 'obj_2', 'class': 'roadway', 'description': 'Asphalt street intersecting near the top of the frame adjacent to the sidewalk', 'position': 'upper half, left and center', 'orientation': 'perpendicular to camera view at intersection'}, {'id': 'obj_3', 'class': 'car', 'description': 'White hatchback car with rear lights on, appearing to be turning right at the intersection', 'position': 'upper center of scene, partly on the roadway close to the sidewalk curb', 'orientation': 'angled with rear facing slightly toward camera'}, {'id': 'obj_4', 'class': 'van', 'description': 'White cargo van parked along the opposite side of the road', 'position': 'upper left of scene', 'orientation': 'side facing camera, parallel to curb'}, {'id': 'obj_5', 'class': 'drain', 'description': 'Street drain grate near the curb on the sidewalk side', 'position': 'left side of sidewalk near curb in mid-upper area', 'orientation': 'flush with pavement'}, {'id': 'obj_6', 'class': 'retaining_wall', 'description': 'Low stone or brick retaining wall with vegetation above it bordering the right side of the sidewalk', 'position': 'right edge of scene', 'orientation': 'parallel to sidewalk'}, {'id': 'obj_7', 'class': 'bollard', 'description': 'Short post or bollard on the sidewalk near the corner', 'position': 'upper right near intersection corner', 'orientation': 'vertical'}]</t>
  </si>
  <si>
    <t>[{'id': 'obj_1', 'class': 'sidewalk', 'description': 'Paved brick sidewalk running from bottom foreground into mid-background along the right side of the image', 'position': 'extends from bottom center toward upper center-left of frame', 'orientation': 'aligned roughly bottom-to-top of image'}, {'id': 'obj_2', 'class': 'bush', 'description': 'Dense green shrub growing from the center-right edge of the sidewalk and projecting into the walking path', 'position': 'middle-right of frame on the sidewalk near the stone wall', 'orientation': 'round canopy extending into pedestrian space'}, {'id': 'obj_3', 'class': 'car', 'description': 'White station wagon parked along the curb next to the street', 'position': 'left-middle of frame, parallel to sidewalk', 'orientation': 'oriented roughly front-to-back along the road'}, {'id': 'obj_4', 'class': 'road', 'description': 'Street adjacent to the sidewalk with curb and parked vehicles', 'position': 'left side and background of the image', 'orientation': 'runs parallel to sidewalk from bottom-left to upper-middle'}, {'id': 'obj_5', 'class': 'traffic_sign', 'description': 'Various street and parking signs on poles near the curb and sidewalk', 'position': 'left and center-top portions of image close to the road', 'orientation': 'vertical on poles'}, {'id': 'obj_6', 'class': 'wall', 'description': 'Stone retaining wall bordering the right edge of the sidewalk with raised grass area above', 'position': 'right side of frame running from bottom-right toward upper-right', 'orientation': 'parallel to sidewalk'}, {'id': 'obj_7', 'class': 'building', 'description': 'Multi-story residential or mixed-use buildings in the background', 'position': 'upper half of image behind street and sidewalk', 'orientation': 'façades facing street'}, {'id': 'obj_8', 'class': 'street_lighting', 'description': 'Ambient street and building lights illuminating the night scene', 'position': 'off-frame sources, reflected in overall scene', 'orientation': 'n/a'}]</t>
  </si>
  <si>
    <t>[{'id': 'obj_1', 'class': 'sidewalk', 'description': 'Paved brick sidewalk covering most of the frame', 'position': 'extends from bottom foreground to upper background, spanning full width of image', 'orientation': 'aligned roughly vertically in the image'}, {'id': 'obj_2', 'class': 'puddle', 'description': 'Large standing water puddle in the middle of the sidewalk', 'position': 'center of the image, slightly above the midpoint vertically', 'orientation': 'horizontal irregular shape'}, {'id': 'obj_3', 'class': 'car', 'description': 'Parked vehicle at edge of sidewalk near top right', 'position': 'upper right edge of frame adjacent to sidewalk', 'orientation': 'parked parallel to walkway'}, {'id': 'obj_4', 'class': 'pole', 'description': 'Vertical post with yellow/black markings near the top center-right, adjacent to curb', 'position': 'top center-right of image on edge of sidewalk', 'orientation': 'vertical'}, {'id': 'obj_5', 'class': 'building_edge_or_fence', 'description': 'Wall or fence with vegetation along left side of walkway', 'position': 'left edge of frame running from lower to upper left', 'orientation': 'parallel to sidewalk'}]</t>
  </si>
  <si>
    <t>[{'id': 'obj_1', 'class': 'sidewalk', 'description': 'Paved pedestrian sidewalk running from foreground to background along a wall with vegetation on the left and parked cars on the right', 'position': 'covers lower and central part of image', 'orientation': 'extends roughly from bottom-center toward upper-center'}, {'id': 'obj_2', 'class': 'car', 'description': 'White SUV-type car parked partly on the sidewalk on the right side of the frame', 'position': 'right side, mid-to-lower area', 'orientation': 'front facing toward top of image, parallel to street'}, {'id': 'obj_3', 'class': 'debris', 'description': 'Pile of bulky discarded items including what appears to be a mattress/cushion and other materials lying across the sidewalk behind the parked car', 'position': 'center near top-middle of sidewalk behind obj_2', 'orientation': 'sprawled laterally across the walkway'}, {'id': 'obj_4', 'class': 'car', 'description': 'White car parked properly on the street behind the obstructing car', 'position': 'upper-center background', 'orientation': 'aligned with roadway'}, {'id': 'obj_5', 'class': 'wall', 'description': 'Stone retaining wall with dense vegetation on top lining the left side of the sidewalk', 'position': 'left edge of image, extending from bottom to top', 'orientation': 'parallel to sidewalk'}, {'id': 'obj_6', 'class': 'street', 'description': 'Vehicle roadway running alongside the sidewalk with several parked cars', 'position': 'right half background', 'orientation': 'extends from lower-right toward upper-right'}]</t>
  </si>
  <si>
    <t>[{'id': 'obj_1', 'class': 'sidewalk', 'description': 'Paved brick sidewalk running from foreground to background along the right side of the street', 'position': 'occupies most of the lower and central part of the image', 'orientation': 'extends longitudinally from bottom center toward top center'}, {'id': 'obj_2', 'class': 'road', 'description': 'Two-lane roadway adjacent to the sidewalk with moving and parked vehicles', 'position': 'left side of the image', 'orientation': 'parallel to sidewalk, bottom left to upper left'}, {'id': 'obj_3', 'class': 'car', 'description': 'Silver sedan parked parallel along curb beside the sidewalk', 'position': 'left foreground near bottom-left quadrant', 'orientation': 'aligned with direction of street, facing away from camera'}, {'id': 'obj_4', 'class': 'car', 'description': 'Row of additional parked cars along curb behind the first car', 'position': 'left mid-ground extending toward center-left background', 'orientation': 'parallel to street'}, {'id': 'obj_5', 'class': 'pedestrian', 'description': 'Single person walking away from the camera along the sidewalk', 'position': 'center background near vanishing point', 'orientation': 'back facing camera, moving away'}, {'id': 'obj_6', 'class': 'tree', 'description': 'Street trees planted in the sidewalk near the curb casting long shadows', 'position': 'left side of sidewalk between sidewalk and road', 'orientation': 'vertical trunks with canopies extending overhead'}, {'id': 'obj_7', 'class': 'wall', 'description': 'Long concrete wall bordering the sidewalk on the right side', 'position': 'right edge of image', 'orientation': 'parallel to sidewalk'}, {'id': 'obj_8', 'class': 'vegetation', 'description': 'Dense leafy plants and vines overhanging from the top of the wall onto the sidewalk edge', 'position': 'upper-right quadrant along wall', 'orientation': 'overhangs slightly toward sidewalk'}, {'id': 'obj_9', 'class': 'street_light', 'description': 'Streetlights illuminating road and sidewalk', 'position': 'upper left and center background', 'orientation': 'vertical poles'}, {'id': 'obj_10', 'class': 'traffic_light', 'description': 'Traffic signal visible in the background at intersection', 'position': 'center-left background', 'orientation': 'facing along roadway'}]</t>
  </si>
  <si>
    <t>[{'id': 'obj_1', 'class': 'car', 'description': 'Silver Kia SUV parked fully on the tiled sidewalk in the foreground, rear facing the camera.', 'position': 'center foreground on sidewalk, adjacent to curb separating it from the roadway on the left', 'orientation': 'parked parallel to roadway, facing away from camera'}, {'id': 'obj_2', 'class': 'car', 'description': 'White car parked on the right side of the image near the curb, appears to be in a designated parking area or edge of the road.', 'position': 'right mid-ground near curb', 'orientation': 'angled slightly toward camera'}, {'id': 'obj_3', 'class': 'cars', 'description': 'Multiple vehicles driving along the main roadway to the left side of the image.', 'position': 'left from foreground to background along roadway', 'orientation': 'moving away and toward the camera along the road'}, {'id': 'obj_4', 'class': 'sidewalk', 'description': 'Paved pedestrian sidewalk running from bottom center toward background, separated from the road by a curb.', 'position': 'occupies lower center and extends into depth of scene', 'orientation': 'parallel to roadway'}, {'id': 'obj_5', 'class': 'road', 'description': 'Multi-lane urban roadway with street lighting and moving traffic.', 'position': 'left side extending from foreground to distant background', 'orientation': 'parallel to camera viewing direction'}, {'id': 'obj_6', 'class': 'street_lights', 'description': 'Tall street lights illuminating the road and sidewalk.', 'position': 'centerline of road extending into background', 'orientation': 'vertical'}, {'id': 'obj_7', 'class': 'trees', 'description': 'Trees lining the right side of the sidewalk.', 'position': 'right side mid-ground', 'orientation': 'vertical'}, {'id': 'obj_8', 'class': 'buildings', 'description': 'High-rise residential or office buildings along both sides of the street.', 'position': 'background left and center', 'orientation': 'vertical facades facing street'}]</t>
  </si>
  <si>
    <t>[{'id': 'obj_1', 'class': 'sidewalk', 'description': 'Paved brick pedestrian pathway running from foreground center toward the background', 'position': 'center of scene, extending from bottom edge to upper middle', 'orientation': 'aligned roughly front-to-back in image perspective'}, {'id': 'obj_2', 'class': 'road', 'description': 'Multi-lane roadway with moving vehicles parallel to the sidewalk', 'position': 'left side of scene, extending from mid-left foreground to background', 'orientation': 'parallel to sidewalk'}, {'id': 'obj_3', 'class': 'car', 'description': 'Several cars with headlights/taillights on driving along the road', 'position': 'left mid to background along the roadway', 'orientation': 'traveling away from camera along road'}, {'id': 'obj_4', 'class': 'streetlight', 'description': 'Tall streetlights illuminating the sidewalk and road', 'position': 'upper center and left of the scene above sidewalk and roadway', 'orientation': 'vertical poles'}, {'id': 'obj_5', 'class': 'trees', 'description': 'Mature trees and vegetation lining both sides of the sidewalk', 'position': 'left and right edges of the sidewalk from foreground to background', 'orientation': 'upright, overhanging sidewalk creating shadows'}, {'id': 'obj_6', 'class': 'raised_edge', 'description': 'Raised concrete edging and curbs bordering the sidewalk and planting beds', 'position': 'both sides of sidewalk, particularly visible in lower left and right foreground', 'orientation': 'parallel to sidewalk'}]</t>
  </si>
  <si>
    <t>[{'id': 'obj_1', 'class': 'sidewalk', 'description': 'Paved pedestrian sidewalk running from foreground to background along a hedge and parked cars', 'position': 'extends from bottom center foreground to mid and upper center of image', 'orientation': 'aligned roughly front-to-back in image'}, {'id': 'obj_2', 'class': 'car', 'description': 'White car parked on the right side, occupying much of the sidewalk', 'position': 'right side foreground to mid-ground', 'orientation': 'parked parallel to sidewalk, facing away from camera'}, {'id': 'obj_3', 'class': 'car', 'description': 'White car parked ahead on the street or sidewalk area', 'position': 'upper center-right background', 'orientation': 'facing away from camera'}, {'id': 'obj_4', 'class': 'debris', 'description': 'Pile of large discarded items (possibly furniture or appliances) and fabric lying across the sidewalk', 'position': 'mid-center of the sidewalk, between hedge and parked car', 'orientation': 'pile spanning across the path'}, {'id': 'obj_5', 'class': 'hedge', 'description': 'Dense green hedge forming a boundary wall on the left side of the sidewalk', 'position': 'left side from foreground to background', 'orientation': 'parallel to sidewalk'}, {'id': 'obj_6', 'class': 'street', 'description': 'Roadway where other vehicles are parked or moving', 'position': 'upper half, beyond sidewalk and parked vehicles', 'orientation': 'parallel to sidewalk'}]</t>
  </si>
  <si>
    <t>[{'id': 'obj_1', 'class': 'pathway', 'description': 'Wide paved central path with lighter surface and brick-colored side strips extending into the distance', 'position': 'center of image from foreground to background', 'orientation': 'aligned with camera viewing direction, receding away from viewer'}, {'id': 'obj_2', 'class': 'vehicle', 'description': 'White panel van parked along the left side of the adjacent roadway', 'position': 'left side, midground', 'orientation': 'parallel to road, facing away from camera'}, {'id': 'obj_3', 'class': 'vehicle', 'description': 'Several dark-colored cars parked behind the white van along the left roadway', 'position': 'left side, mid- to background', 'orientation': 'parallel to road, facing away from camera'}, {'id': 'obj_4', 'class': 'street_light', 'description': 'Illuminated street lights along left side of the scene', 'position': 'upper left side, extending into background', 'orientation': 'vertical poles with lights facing downward'}, {'id': 'obj_5', 'class': 'vegetation', 'description': 'Trees and shrubs lining both sides of the path', 'position': 'both left and right edges of the scene', 'orientation': 'upright along edges of path'}, {'id': 'obj_6', 'class': 'roadway', 'description': 'Vehicle roadway parallel to the path on the left side with parked vehicles', 'position': 'left side, running parallel to central path', 'orientation': 'aligned with camera viewing direction'}]</t>
  </si>
  <si>
    <t>[{'id': 'obj_1', 'class': 'sidewalk', 'description': 'Brick-paved sidewalk in the foreground extending toward the background along the right side of the street', 'position': 'right side of scene, foreground to midground', 'orientation': 'aligned parallel to roadway'}, {'id': 'obj_2', 'class': 'roadway', 'description': 'Paved street running from bottom left toward an intersection in the upper left/center; curb separating it from the sidewalk', 'position': 'left side and center of scene', 'orientation': 'curving slightly to the left near the intersection'}, {'id': 'obj_3', 'class': 'car', 'description': 'White hatchback stopped or moving slowly near the intersection with brake lights on', 'position': 'upper center of image, partly on right side of road near the curb', 'orientation': 'facing away from the camera toward the intersection'}, {'id': 'obj_4', 'class': 'car', 'description': 'White sedan or hatchback ahead of the main car, closer to the intersection', 'position': 'upper center-right background', 'orientation': 'facing away from the camera toward the intersection'}, {'id': 'obj_5', 'class': 'van', 'description': 'White van parked or stopped on the opposite side of the intersection', 'position': 'upper left background', 'orientation': 'angled slightly across the intersection'}, {'id': 'obj_6', 'class': 'building', 'description': 'Multi-story building along the right side with elevated planting/hedge and retaining wall next to the sidewalk', 'position': 'right edge of image', 'orientation': 'frontage along street'}, {'id': 'obj_7', 'class': 'curb', 'description': 'Raised curb separating the roadway and sidewalk, with a storm drain near the bottom center-left', 'position': 'running from lower center to upper center-left between road and sidewalk', 'orientation': 'longitudinal along street'}, {'id': 'obj_8', 'class': 'drain', 'description': 'Storm drain grate set in the road surface near the curb', 'position': 'lower center-left', 'orientation': 'perpendicular to curb'}]</t>
  </si>
  <si>
    <t>[{'id': 'obj_1', 'class': 'sidewalk', 'description': 'Paved pedestrian sidewalk on the left side of the image running parallel to the roadway', 'position': 'left side of scene', 'orientation': 'extends from foreground bottom-left toward background top-left'}, {'id': 'obj_2', 'class': 'road', 'description': 'Two-way residential street with white diagonal parking/edge markings along the right side', 'position': 'center and right of scene', 'orientation': 'extends from bottom-center to top-center'}, {'id': 'obj_3', 'class': 'car', 'description': 'Silver/white car parked along the curb adjacent to the sidewalk in the foreground', 'position': 'left-center of road, next to sidewalk', 'orientation': 'parked facing away from the camera toward background'}, {'id': 'obj_4', 'class': 'car', 'description': 'White car parked on right side of street further in the mid-background', 'position': 'mid-right of scene', 'orientation': 'aligned along the street'}, {'id': 'obj_5', 'class': 'car', 'description': 'Another light-colored car parked behind the mid-right car', 'position': 'far-right background', 'orientation': 'aligned along the street'}, {'id': 'obj_6', 'class': 'buildings', 'description': 'Mid-rise residential buildings lining both sides of the street', 'position': 'left and right background', 'orientation': 'facing the street'}, {'id': 'obj_7', 'class': 'streetlight', 'description': 'Illuminated streetlight on the left side of the road', 'position': 'upper-left of scene near sidewalk', 'orientation': 'upright post'}, {'id': 'obj_8', 'class': 'vegetation', 'description': 'Hedges and trees lining the left side of the sidewalk and some trees further down the street', 'position': 'left edge and distant background', 'orientation': 'vertical growth along sidewalk'}, {'id': 'obj_9', 'class': 'discarded_items', 'description': 'Large cardboard boxes and packaging materials placed on the sidewalk directly behind the parked car', 'position': 'center-foreground over the sidewalk, partially extending toward the roadway', 'orientation': 'piled horizontally, blocking much of the sidewalk width'}]</t>
  </si>
  <si>
    <t>[{'id': 'obj_1', 'class': 'sidewalk', 'description': 'Brick-paved sidewalk extending from bottom center toward the upper part of the image along the right side of the street', 'position': 'occupies most of the foreground and mid-ground center-right', 'orientation': 'aligned roughly along the vertical axis of the image'}, {'id': 'obj_2', 'class': 'street', 'description': 'Roadway adjacent to the sidewalk with painted white markings', 'position': 'left edge of the image, running roughly parallel to the sidewalk', 'orientation': 'vertical along the left side'}, {'id': 'obj_3', 'class': 'car', 'description': 'Dark-colored car parked parallel to the curb with headlights off', 'position': 'upper left portion near the curb', 'orientation': 'facing upward/away from the camera along the street'}, {'id': 'obj_4', 'class': 'bollard', 'description': 'Rectangular concrete/stone bollard separating sidewalk from another area or protecting infrastructure', 'position': 'right side mid-ground near the edge of the sidewalk', 'orientation': 'upright vertical'}, {'id': 'obj_5', 'class': 'bollard', 'description': 'Second rectangular bollard slightly behind the first one', 'position': 'upper right side adjacent to obj_4', 'orientation': 'upright vertical'}, {'id': 'obj_6', 'class': 'pedestrian', 'description': 'Person standing or walking further up the sidewalk near a tree and parked car', 'position': 'upper center of the image on the sidewalk', 'orientation': 'facing generally toward the right side of the frame'}, {'id': 'obj_7', 'class': 'tree', 'description': 'Tree trunk emerging from a cut-out in the sidewalk near the parked car', 'position': 'upper center-left on the sidewalk edge by the curb', 'orientation': 'vertical'}]</t>
  </si>
  <si>
    <t>[{'id': 'obj_1', 'class': 'pedestrian_path', 'description': 'Paved brick walkway on the right side running straight away from the camera', 'position': 'right side foreground to center background', 'orientation': 'aligned with image depth, leading away from viewer'}, {'id': 'obj_2', 'class': 'service_lane_or_bikeway', 'description': 'Asphalt strip on the left side parallel to the pedestrian path', 'position': 'left side foreground to center background', 'orientation': 'aligned with image depth, leading away from viewer'}, {'id': 'obj_3', 'class': 'vegetation', 'description': 'Bushes and flowerbeds bordering both sides of the paths', 'position': 'left and right edges of the scene', 'orientation': 'linear along paths'}, {'id': 'obj_4', 'class': 'trees', 'description': 'Medium-sized trees with streetlights interspersed along the left and right edges', 'position': 'midground left and right', 'orientation': 'vertical'}, {'id': 'obj_5', 'class': 'streetlights', 'description': 'Multiple streetlights illuminating the paths and nearby road', 'position': 'left and right sides, midground to background', 'orientation': 'vertical poles with lights facing downward'}, {'id': 'obj_6', 'class': 'roadway', 'description': 'Curving motor vehicle road visible beyond the left path with some cars parked or moving', 'position': 'left midground and background', 'orientation': 'curving left to right'}, {'id': 'obj_7', 'class': 'traffic_sign', 'description': 'Triangular warning traffic sign on a pole near the left midground', 'position': 'left midground near edge between path and road', 'orientation': 'facing along road direction'}, {'id': 'obj_8', 'class': 'buildings', 'description': 'Tall residential or office towers in the distant background', 'position': 'upper center background', 'orientation': 'vertical'}, {'id': 'obj_9', 'class': 'street_furniture', 'description': 'Small structure or frame on the right midground near path, possibly signage or shelter', 'position': 'right midground', 'orientation': 'aligned with path'}]</t>
  </si>
  <si>
    <t>[{'id': 'obj_1', 'class': 'pedestrian', 'description': 'Adult person in light-colored tracksuit walking away from the camera on the center of the sidewalk', 'position': 'center foreground on sidewalk', 'orientation': 'back facing camera, walking forward along sidewalk direction'}, {'id': 'obj_2', 'class': 'pedestrian', 'description': 'Adult person standing near white parked car by curb', 'position': 'left-midground at edge of sidewalk near parked cars', 'orientation': 'facing generally toward camera and street'}, {'id': 'obj_3', 'class': 'car', 'description': 'White small car parked close to curb adjacent to sidewalk', 'position': 'left-midground along roadway next to sidewalk', 'orientation': 'aligned with road direction'}, {'id': 'obj_4', 'class': 'car', 'description': 'White car partially visible passing or parked further left', 'position': 'left foreground/edge of frame along roadway', 'orientation': 'roughly parallel to curb'}, {'id': 'obj_5', 'class': 'street_infrastructure', 'description': 'Paved sidewalk with brick pattern alongside roadway', 'position': 'occupies lower and central part of frame', 'orientation': 'extends from bottom toward background'}, {'id': 'obj_6', 'class': 'street_infrastructure', 'description': 'Roadway with parking lane next to sidewalk', 'position': 'left side of frame running front to back', 'orientation': 'parallel to sidewalk'}, {'id': 'obj_7', 'class': 'streetlight', 'description': 'Tall streetlights illuminating road and sidewalk', 'position': 'center background along street', 'orientation': 'vertical'}, {'id': 'obj_8', 'class': 'building', 'description': 'Mid- and high-rise residential or mixed-use buildings flanking the street', 'position': 'both sides and background of frame', 'orientation': 'vertical facades facing street'}, {'id': 'obj_9', 'class': 'vegetation', 'description': 'Bushes and small trees in planted area beside sidewalk', 'position': 'right midground adjacent to sidewalk', 'orientation': 'fixed landscaping'}, {'id': 'obj_10', 'class': 'sign', 'description': 'Traffic signs (likely no-entry) on poles along street', 'position': 'left background near parked cars', 'orientation': 'facing oncoming roadway traffic'}, {'id': 'obj_11', 'class': 'awning_pole', 'description': 'Vertical pole supporting an awning edge near sidewalk', 'position': 'right foreground edge of sidewalk', 'orientation': 'vertical'}]</t>
  </si>
  <si>
    <t>[{'id': 'obj_1', 'class': 'sidewalk', 'description': 'Paved pedestrian sidewalk extending from foreground to background', 'position': 'center of image, running longitudinally', 'orientation': 'parallel to camera view direction'}, {'id': 'obj_2', 'class': 'car', 'description': 'White car parked along the right edge of the sidewalk, occupying part of pedestrian space', 'position': 'right side, foreground to midground', 'orientation': 'aligned roughly with sidewalk direction'}, {'id': 'obj_3', 'class': 'car', 'description': 'White car parked ahead near background, beyond sidewalk obstruction', 'position': 'center-right background', 'orientation': 'facing away from camera'}, {'id': 'obj_4', 'class': 'debris', 'description': 'Large household items or furniture pieces and covering material lying across sidewalk', 'position': 'center of image, midground, spanning from hedge to parked car', 'orientation': 'irregularly piled, perpendicular to walking direction'}, {'id': 'obj_5', 'class': 'hedge', 'description': 'Dense green hedge forming boundary on left side of sidewalk', 'position': 'left side, full height from foreground to background', 'orientation': 'parallel to sidewalk'}, {'id': 'obj_6', 'class': 'street', 'description': 'Vehicle roadway adjacent to sidewalk with additional parked cars', 'position': 'right background beyond parked sidewalk car', 'orientation': 'parallel to sidewalk'}]</t>
  </si>
  <si>
    <t>[{'id': 'obj_1', 'class': 'sidewalk', 'description': 'Brick-paved sidewalk extending from foreground to background along right side of street', 'position': 'occupies most of right and central part of frame', 'orientation': 'parallel to roadway'}, {'id': 'obj_2', 'class': 'roadway', 'description': 'Asphalt road running along left side of the image with white painted markings', 'position': 'left edge of frame', 'orientation': 'parallel to sidewalk'}, {'id': 'obj_3', 'class': 'car', 'description': 'Dark-colored car parked at curb near top-left of image', 'position': 'top-left', 'orientation': 'aligned with road direction'}, {'id': 'obj_4', 'class': 'curb', 'description': 'Curb separating roadway and sidewalk with alternating red and white paint', 'position': 'runs along left-central edge between road and sidewalk', 'orientation': 'parallel to street'}, {'id': 'obj_5', 'class': 'building', 'description': 'Structure lining the sidewalk on the right side', 'position': 'right side of frame, especially upper-right', 'orientation': 'frontage parallel to sidewalk'}]</t>
  </si>
  <si>
    <t>[{'id': 'obj_1', 'class': 'car', 'description': 'White SUV-type car parked along the right edge of the sidewalk in the foreground', 'position': 'right side of image, occupying outer edge of sidewalk near curb/roadway', 'orientation': 'oriented along the street, facing away from the camera'}, {'id': 'obj_2', 'class': 'sidewalk', 'description': 'Paved pedestrian walkway running from foreground toward background between hedge wall and parked vehicles', 'position': 'center of image extending from bottom to upper center', 'orientation': 'longitudinal'}, {'id': 'obj_3', 'class': 'debris', 'description': 'Large broken furniture or structural panels and scattered material lying across the sidewalk', 'position': 'center-left to center of image, blocking the path between hedge and parked car', 'orientation': 'panels leaning and lying horizontally across walkway'}, {'id': 'obj_4', 'class': 'hedge_wall', 'description': 'Tall hedge and low stone wall lining the left side of the sidewalk', 'position': 'left side of image from foreground to background', 'orientation': 'parallel to sidewalk'}, {'id': 'obj_5', 'class': 'cars', 'description': 'Multiple parked cars along the street in the background', 'position': 'upper center and right background', 'orientation': 'aligned with roadway'}, {'id': 'obj_6', 'class': 'street_lighting_signs', 'description': 'Street signposts and lighting elements in the background near parked cars', 'position': 'upper center of image', 'orientation': 'vertical'}]</t>
  </si>
  <si>
    <t>[{'id': 'obj_1', 'class': 'sidewalk', 'description': 'Main paved pedestrian path extending from foreground center to background center.', 'position': 'center of scene, running longitudinally away from camera', 'orientation': 'aligned roughly bottom-to-top of image'}, {'id': 'obj_2', 'class': 'paved_path', 'description': 'Brick-paved strip with a manhole cover running along right side of main path.', 'position': 'right side of scene, parallel to main sidewalk', 'orientation': 'bottom-right toward upper-right'}, {'id': 'obj_3', 'class': 'road', 'description': 'Vehicle roadway running parallel to sidewalk with moving traffic and traffic lights.', 'position': 'left side and background of scene', 'orientation': 'bottom-left toward upper-left/background'}, {'id': 'obj_4', 'class': 'car', 'description': 'Parked dark-colored car in a roadside bay next to the sidewalk.', 'position': 'left side of scene, mid-foreground', 'orientation': 'facing away from camera along the road'}, {'id': 'obj_5', 'class': 'traffic_light', 'description': 'Green traffic lights controlling road traffic.', 'position': 'left background of scene near road', 'orientation': 'facing along roadway'}, {'id': 'obj_6', 'class': 'street_light', 'description': 'Illuminated street lamps lighting the sidewalk and road.', 'position': 'upper-left and upper-center of scene above sidewalk and road', 'orientation': 'poles vertical, lamps angled downward'}, {'id': 'obj_7', 'class': 'tree', 'description': 'Street trees planted between road and sidewalk and along right side.', 'position': 'left center and right side of scene', 'orientation': 'upright'}, {'id': 'obj_8', 'class': 'bench', 'description': 'White bench located along the right edge of the sidewalk.', 'position': 'mid-right of scene along vegetation', 'orientation': 'facing toward sidewalk'}, {'id': 'obj_9', 'class': 'manhole_cover', 'description': 'Circular manhole cover embedded in the brick-paved strip.', 'position': 'lower-right quadrant of scene on brick path', 'orientation': 'horizontal in ground plane'}]</t>
  </si>
  <si>
    <t>[{'id': 'obj_1', 'class': 'sidewalk', 'description': 'Wide, paved pedestrian sidewalk with patterned bricks running from foreground to background along the left side of the street.', 'position': 'dominant lower and central-left portion of the scene', 'orientation': 'extends away from the camera into the distance'}, {'id': 'obj_2', 'class': 'car', 'description': 'Silver car parked along the curb closest to the camera on the right side of the street.', 'position': 'right foreground', 'orientation': 'facing away from the camera along the street'}, {'id': 'obj_3', 'class': 'car', 'description': 'White SUV parked further down the street along the curb on the right side.', 'position': 'right midground', 'orientation': 'facing toward the camera'}, {'id': 'obj_4', 'class': 'car', 'description': 'Another car parked further in the distance along the right curb.', 'position': 'right background', 'orientation': 'aligned with the street direction'}, {'id': 'obj_5', 'class': 'road', 'description': 'Two-way or local street running parallel to the sidewalk, with curb markings in red and white.', 'position': 'right half of the image', 'orientation': 'extends from foreground to background'}, {'id': 'obj_6', 'class': 'building_wall', 'description': 'Light-colored masonry wall with metal doors or panels along the left side of the sidewalk.', 'position': 'left foreground and midground', 'orientation': 'parallel to the sidewalk'}, {'id': 'obj_7', 'class': 'streetlight', 'description': 'Streetlights illuminating the sidewalk and road.', 'position': 'upper left and mid-background', 'orientation': 'vertical poles'}, {'id': 'obj_8', 'class': 'vegetation', 'description': 'Large trees and a palm tree along the right side of the street providing canopy over sidewalk and road.', 'position': 'upper central and right side', 'orientation': 'vertical trunks with overhead canopy'}, {'id': 'obj_9', 'class': 'sign', 'description': 'Small sign with text mounted on the wall on the left side of the sidewalk.', 'position': 'left mid-foreground on the wall', 'orientation': 'facing the sidewalk'}]</t>
  </si>
  <si>
    <t>[{'id': 'obj_1', 'class': 'sidewalk', 'description': 'Long straight paved sidewalk extending from foreground to background along a wall on the right', 'position': 'occupies most of the right and central portion of the image', 'orientation': 'aligned with the street, receding into the distance'}, {'id': 'obj_2', 'class': 'road', 'description': 'Vehicle lane with moving and queued cars parallel to the sidewalk', 'position': 'left side of the image, partly visible beyond the parked cars', 'orientation': 'parallel to the sidewalk'}, {'id': 'obj_3', 'class': 'car', 'description': 'Dark car parked adjacent to the sidewalk with its right-side door open', 'position': 'left foreground edge, partly on frame closest to the camera', 'orientation': 'parked parallel to curb, front facing away from camera'}, {'id': 'obj_4', 'class': 'pedestrian', 'description': 'Person standing next to the open door of the parked car, leaning into the vehicle', 'position': 'left foreground next to obj_3 at curb edge', 'orientation': 'facing into the car, back partly toward sidewalk'}, {'id': 'obj_5', 'class': 'car', 'description': 'White car immediately ahead of the dark parked car, close to the curb', 'position': 'left mid-foreground', 'orientation': 'parallel to curb'}, {'id': 'obj_6', 'class': 'cars', 'description': 'Multiple cars in traffic with red brake lights on', 'position': 'left midground and background along the street', 'orientation': 'aligned in traffic lane, facing away from camera'}, {'id': 'obj_7', 'class': 'traffic_light', 'description': 'Red traffic lights controlling the intersection ahead', 'position': 'background left and center', 'orientation': 'facing oncoming traffic from camera direction'}, {'id': 'obj_8', 'class': 'sign', 'description': 'Yellow triangular warning sign on a pole on the sidewalk', 'position': 'midground center-left beside the sidewalk', 'orientation': 'facing approaching traffic'}, {'id': 'obj_9', 'class': 'wall', 'description': 'High wall with metal fence on top running along right side of sidewalk', 'position': 'right side of image', 'orientation': 'parallel to sidewalk'}, {'id': 'obj_10', 'class': 'trees', 'description': 'Street trees planted in sidewalk cutouts providing shade', 'position': 'left-central along the sidewalk edge between sidewalk and street', 'orientation': 'vertical trunks with canopies over sidewalk and street'}, {'id': 'obj_11', 'class': 'street_lights', 'description': 'Overhead street lighting illuminating road and sidewalk', 'position': 'upper left and background', 'orientation': 'mounted on tall poles along the street'}]</t>
  </si>
  <si>
    <t>[{'id': 'obj_1', 'class': 'sidewalk', 'description': 'Paved brick sidewalk extending from bottom foreground to upper right background', 'position': 'occupies most of the right and central portion of the image', 'orientation': 'aligned roughly vertically in the image following the street direction'}, {'id': 'obj_2', 'class': 'roadway', 'description': 'Asphalt road with white lane and edge markings and a red curb line adjacent to the sidewalk', 'position': 'left side of the image running parallel to the sidewalk', 'orientation': 'aligned vertically'}, {'id': 'obj_3', 'class': 'car', 'description': 'Dark-colored car parked on the roadside near the top left, facing away from the camera', 'position': 'upper left corner next to the curb', 'orientation': 'aligned with the roadway'}, {'id': 'obj_4', 'class': 'building_structure', 'description': 'Columns or walls of a building lining the right side of the sidewalk', 'position': 'right edge of the image', 'orientation': 'vertical supports parallel to sidewalk'}, {'id': 'obj_5', 'class': 'stain_or_pavement_mark', 'description': 'Irregular darker patches or stains on the sidewalk surface', 'position': 'center-right area of the sidewalk in mid-frame', 'orientation': 'flat on pavement'}]</t>
  </si>
  <si>
    <t>[{'id': 'obj_1', 'class': 'sidewalk', 'description': 'Paved pedestrian path on the right side with brick border, extending into the distance', 'position': 'right side of frame, parallel to roadway', 'orientation': 'runs from bottom-right foreground to upper-center background'}, {'id': 'obj_2', 'class': 'pathway', 'description': 'Central paved path that could be used by pedestrians or cyclists, with some surface cracks', 'position': 'center of frame', 'orientation': 'runs from bottom-center foreground to upper-center background'}, {'id': 'obj_3', 'class': 'road', 'description': 'Motor vehicle roadway with multiple cars, separated from central path by a hedge', 'position': 'left side of frame', 'orientation': 'runs from lower-left toward mid-left background'}, {'id': 'obj_4', 'class': 'car', 'description': 'Several cars stopped or moving slowly at a junction with a red traffic light', 'position': 'clustered mid-left of frame', 'orientation': 'generally facing away from camera along the road'}, {'id': 'obj_5', 'class': 'traffic_light', 'description': 'Illuminated red traffic signal controlling vehicle traffic', 'position': 'upper-left quadrant near cars', 'orientation': 'facing approaching vehicles on the road'}, {'id': 'obj_6', 'class': 'building', 'description': 'Urban residential or mixed-use buildings on the right with some exterior lighting', 'position': 'right side mid-ground', 'orientation': 'fronts toward the sidewalk and path'}, {'id': 'obj_7', 'class': 'vegetation', 'description': 'Trees, hedges, and bushes lining both sides of the path and along the road', 'position': 'both sides of central path, especially left and right edges', 'orientation': 'vertical vegetation features'}, {'id': 'obj_8', 'class': 'street_lighting', 'description': 'Ambient city and building lighting illuminating the sidewalk and path', 'position': 'not directly visible as poles, but illumination evident throughout scene', 'orientation': 'overhead and lateral light sources'}]</t>
  </si>
  <si>
    <t>[{'id': 'obj_1', 'class': 'pedestrian', 'description': 'Adult man walking away from the camera on the sidewalk near the center-right of the image.', 'position': 'On sidewalk, mid-depth, slightly right of center', 'orientation': 'Back facing camera, walking away along sidewalk'}, {'id': 'obj_2', 'class': 'dog', 'description': 'Small dog on a leash ahead of the man on the sidewalk edge closest to the parked cars.', 'position': 'On sidewalk near curb, mid-right of image', 'orientation': 'Walking away from camera along sidewalk'}, {'id': 'obj_3', 'class': 'car', 'description': 'Silver car parked along the curb on the right side of the street, front visible.', 'position': 'Right foreground at curb', 'orientation': 'Parked parallel to curb, facing away from camera'}, {'id': 'obj_4', 'class': 'car', 'description': 'Dark car parked in front of the silver car along the curb.', 'position': 'Right mid-ground at curb behind pedestrian and dog', 'orientation': 'Parked parallel to curb, facing away from camera'}, {'id': 'obj_5', 'class': 'building', 'description': 'Multi-story residential building in background with lit windows and balconies.', 'position': 'Background, spanning center and right', 'orientation': 'Facade facing street'}, {'id': 'obj_6', 'class': 'sidewalk', 'description': 'Paved pedestrian walkway running from foreground to background along left side of parked cars.', 'position': 'Occupies most of left and center of image', 'orientation': 'Aligned with street direction'}, {'id': 'obj_7', 'class': 'road', 'description': 'Asphalt street running parallel to the sidewalk, with parked cars along curb.', 'position': 'Right side of image', 'orientation': 'Extends from foreground to background'}, {'id': 'obj_8', 'class': 'traffic_sign', 'description': 'Pedestrian crossing sign on a pole near the background left.', 'position': 'Left mid-background beside fence', 'orientation': 'Facing toward approaching street traffic'}, {'id': 'obj_9', 'class': 'fence', 'description': 'Metal fence running along the left side of the sidewalk above a stone retaining wall.', 'position': 'Left side from foreground to background', 'orientation': 'Parallel to sidewalk'}, {'id': 'obj_10', 'class': 'streetlight', 'description': 'Tall streetlights illuminating the sidewalk and road.', 'position': 'Right background along street', 'orientation': 'Vertical poles'}]</t>
  </si>
  <si>
    <t>[{'id': 'obj_1', 'class': 'sidewalk', 'description': 'Paved pedestrian sidewalk running from foreground to background on the left side of the image', 'position': 'occupies most of the lower and left areas of the frame', 'orientation': 'aligned roughly from bottom toward top of image'}, {'id': 'obj_2', 'class': 'bush', 'description': 'Dense green shrub growing next to a low stone wall and extending significantly into the sidewalk space', 'position': 'center of image, encroaching from right edge into the middle of the walkway', 'orientation': 'rounded shape protruding horizontally into walkway'}, {'id': 'obj_3', 'class': 'wall', 'description': 'Low stone retaining wall running along the right side of the sidewalk', 'position': 'right side of frame beside the bush', 'orientation': 'aligned parallel to sidewalk'}, {'id': 'obj_4', 'class': 'car', 'description': 'White car parked along the curb adjacent to the sidewalk', 'position': 'left middle of frame, beyond the sidewalk', 'orientation': 'parked parallel to curb'}, {'id': 'obj_5', 'class': 'car', 'description': 'Dark-colored car parked behind the white car', 'position': 'left-center background', 'orientation': 'parked parallel to curb'}, {'id': 'obj_6', 'class': 'traffic_sign', 'description': 'Blue one-way or directional traffic sign on a pole', 'position': 'upper center-left of image above parked cars', 'orientation': 'facing the road'}, {'id': 'obj_7', 'class': 'building', 'description': 'Multi-story residential or mixed-use building in background', 'position': 'occupying top half of frame behind parked cars', 'orientation': 'façade facing street'}, {'id': 'obj_8', 'class': 'street_lighting', 'description': 'Street lighting casting shadows of the bush on the sidewalk (light source off-frame)', 'position': 'implied above and out of frame, shadows visible on lower center', 'orientation': 'lighting directed downward onto sidewalk'}]</t>
  </si>
  <si>
    <t>[{'id': 'obj_1', 'class': 'sidewalk', 'description': 'Wide brick-paved sidewalk running from foreground to background along the right side of the road', 'position': 'dominant lower and central part of image', 'orientation': 'parallel to roadway'}, {'id': 'obj_2', 'class': 'road', 'description': 'Two-lane road adjacent to the sidewalk with some vehicles stopped near traffic light', 'position': 'left side of image, extending into background', 'orientation': 'parallel to sidewalk'}, {'id': 'obj_3', 'class': 'car', 'description': 'Car stopped at red traffic light', 'position': 'upper left quadrant, near center-left edge of road', 'orientation': 'facing away from camera along road'}, {'id': 'obj_4', 'class': 'traffic_light', 'description': 'Overhead red traffic lights controlling vehicle traffic', 'position': 'upper center-left of image above road', 'orientation': 'oriented toward approaching vehicles'}, {'id': 'obj_5', 'class': 'pedestrian', 'description': 'Single pedestrian walking along the sidewalk away from the camera', 'position': 'upper center of image on sidewalk', 'orientation': 'back to camera, moving away'}, {'id': 'obj_6', 'class': 'fence', 'description': 'Metal fence bordering the right side of the sidewalk, separating it from a vegetated or facility area', 'position': 'right side of image running from foreground to background', 'orientation': 'parallel to sidewalk'}, {'id': 'obj_7', 'class': 'tree', 'description': 'Large tree with trunk leaning slightly over the sidewalk', 'position': 'upper center-left above sidewalk near curb', 'orientation': 'trunk leaning toward roadway/sidewalk'}, {'id': 'obj_8', 'class': 'street_lighting', 'description': 'Tall streetlights illuminating road and sidewalk', 'position': 'left and background of image along road', 'orientation': 'vertical poles'}]</t>
  </si>
  <si>
    <t>[{'id': 'obj_1', 'class': 'sidewalk', 'description': 'Wide paved pedestrian walkway extending from foreground to background in center-right of image', 'position': 'dominant central area, running longitudinally into distance', 'orientation': 'aligned roughly bottom-to-top of image'}, {'id': 'obj_2', 'class': 'road', 'description': 'Vehicle roadway running parallel to the sidewalk on the left side, partially visible', 'position': 'left side of scene parallel to sidewalk', 'orientation': 'aligned roughly bottom-left to upper-middle'}, {'id': 'obj_3', 'class': 'streetlight', 'description': 'Series of modern curved lampposts illuminating sidewalk and road', 'position': 'center of walkway and extending into background', 'orientation': 'vertical poles with lights facing downward'}, {'id': 'obj_4', 'class': 'fence', 'description': 'Tall metal fence atop a stone retaining wall along the right edge', 'position': 'right boundary of sidewalk', 'orientation': 'runs bottom-right to upper-right'}, {'id': 'obj_5', 'class': 'vegetation', 'description': 'Trees overhanging roadway and bushes along base of wall', 'position': 'trees on upper-left, bushes along right side', 'orientation': 'following road and fence lines'}, {'id': 'obj_6', 'class': 'barrier', 'description': 'Low white metal barriers separating the road from adjacent area on the far left', 'position': 'far left side of image parallel to road', 'orientation': 'aligned with roadway'}]</t>
  </si>
  <si>
    <t>[{'id': 'obj_1', 'class': 'pathway', 'description': 'Central asphalt path extending from bottom foreground to upper background of the image', 'position': 'center of scene, longitudinally from bottom to top', 'orientation': 'aligned roughly vertically in the image'}, {'id': 'obj_2', 'class': 'sidewalk_paving', 'description': 'Light-colored rectangular tiles along the left side of the asphalt path', 'position': 'left side of scene', 'orientation': 'parallel to main path'}, {'id': 'obj_3', 'class': 'sidewalk_paving', 'description': 'Brick-like pavers along the right side of the asphalt path with a narrow red edging strip', 'position': 'right side of scene', 'orientation': 'parallel to main path'}, {'id': 'obj_4', 'class': 'surface_cracks', 'description': 'Multiple longitudinal and branching cracks running along the asphalt surface', 'position': 'center of path from lower to mid and upper parts of the image', 'orientation': 'mostly vertical with some lateral branching'}, {'id': 'obj_5', 'class': 'surface_stain_or_wear', 'description': 'Darker, roughly circular worn or stained area on the asphalt', 'position': 'upper-right area of the asphalt section near the interface with right-side pavers', 'orientation': 'n/a'}]</t>
  </si>
  <si>
    <t>[{'id': 'obj_1', 'class': 'sidewalk', 'description': 'Paved pedestrian sidewalk running along the right side of the image', 'position': 'right foreground to right background', 'orientation': 'aligned parallel to the street'}, {'id': 'obj_2', 'class': 'road', 'description': 'Two-way residential street with cars parked along the right curb', 'position': 'center to background, running horizontally', 'orientation': 'depthwise from foreground toward background'}, {'id': 'obj_3', 'class': 'car', 'description': 'White car parked on the right side of the street closest to the camera', 'position': 'mid-right foreground', 'orientation': 'parallel to curb, facing away from camera'}, {'id': 'obj_4', 'class': 'car', 'description': 'White car parked on right side slightly further back', 'position': 'center-right midground', 'orientation': 'parallel to curb, facing away from camera'}, {'id': 'obj_5', 'class': 'car', 'description': 'Additional white cars parked further down the street', 'position': 'right background', 'orientation': 'parallel to curb'}, {'id': 'obj_6', 'class': 'vegetation_debris', 'description': 'Large pile of cut branches, leaves, and plant debris placed along the curb encroaching onto pedestrian space', 'position': 'left-foreground to center-foreground between road and sidewalk', 'orientation': 'elongated heap parallel to curb'}, {'id': 'obj_7', 'class': 'building', 'description': 'Multi-story residential buildings with balconies and windows', 'position': 'left and center background', 'orientation': 'facing street'}, {'id': 'obj_8', 'class': 'tree', 'description': 'Street trees planted in a row between sidewalk and road', 'position': 'left to center of image along curb line', 'orientation': 'vertical trunks'}]</t>
  </si>
  <si>
    <t>[{'id': 'obj_1', 'class': 'sidewalk', 'description': 'Brick-paved sidewalk in the foreground and right side of the image, running parallel to the street', 'position': 'right and bottom portion of scene', 'orientation': 'aligned parallel to roadway'}, {'id': 'obj_2', 'class': 'roadway', 'description': 'Two-lane urban street with crosswalk markings and parked cars along the far side', 'position': 'center and left of scene beyond the curb', 'orientation': 'horizontal across the image'}, {'id': 'obj_3', 'class': 'car', 'description': 'Blue car traveling or stopped near crosswalk on far side of street', 'position': 'upper-right quadrant on the road', 'orientation': 'facing left along the street'}, {'id': 'obj_4', 'class': 'car', 'description': 'Yellow car parked on far side of street near buildings', 'position': 'upper-center-left on far side of roadway', 'orientation': 'parallel to curb'}, {'id': 'obj_5', 'class': 'car', 'description': 'Dark-colored parked car further back along the far curb', 'position': 'upper-left edge of scene', 'orientation': 'parallel to curb'}, {'id': 'obj_6', 'class': 'traffic_sign', 'description': 'No-parking or restriction sign on a pole beside the sidewalk', 'position': 'right side near curb', 'orientation': 'facing toward roadway'}, {'id': 'obj_7', 'class': 'vegetation_debris', 'description': 'Large pile of cut branches and foliage placed along curb on the sidewalk edge', 'position': 'lower-left to mid-left, adjacent to the curb on the sidewalk', 'orientation': 'elongated along curb line'}, {'id': 'obj_8', 'class': 'plastic_container', 'description': 'White plastic container or trash bin lying amid the vegetation pile', 'position': 'left-center near curb within debris pile', 'orientation': 'tipped on its side'}, {'id': 'obj_9', 'class': 'building', 'description': 'Multi-story residential or mixed-use buildings lining the far side of the street', 'position': 'top of image behind parked cars', 'orientation': 'front facades facing the street'}]</t>
  </si>
  <si>
    <t>[{'id': 'obj_1', 'class': 'sidewalk', 'description': 'Brick-pattern paved pedestrian walkway occupying most of the frame', 'position': 'extends from bottom foreground to upper part of image', 'orientation': 'aligned roughly from bottom to top of frame'}, {'id': 'obj_2', 'class': 'water_puddle', 'description': 'Large shallow puddle reflecting surrounding poles and sky', 'position': 'upper-central area of the walkway', 'orientation': 'N/A'}, {'id': 'obj_3', 'class': 'pole', 'description': 'Vertical pole with dark and light bands near right side of frame', 'position': 'upper-right edge, partly over the sidewalk', 'orientation': 'vertical'}, {'id': 'obj_4', 'class': 'fence', 'description': 'Low fence or railing with vegetation behind it along left side', 'position': 'left edge, running from mid to upper part of frame', 'orientation': 'parallel to walkway'}]</t>
  </si>
  <si>
    <t>[{'id': 'obj_1', 'class': 'sidewalk', 'description': 'Wide brick-paved pedestrian path running straight through the center of the image.', 'position': 'central foreground to background', 'orientation': 'aligned away from camera toward distance'}, {'id': 'obj_2', 'class': 'trees', 'description': 'Rows of mature trees flanking both sides of the sidewalk, forming a canopy overhead.', 'position': 'left and right sides of the path', 'orientation': 'vertical trunks with foliage overhanging sidewalk'}, {'id': 'obj_3', 'class': 'vegetation', 'description': 'Low shrubs and plants in beds bordering the sidewalk.', 'position': 'along left and right edges of sidewalk', 'orientation': 'ground-level plantings'}, {'id': 'obj_4', 'class': 'roadway', 'description': 'Lighted street with traffic lights and barriers visible to the left beyond the vegetation.', 'position': 'left midground and background', 'orientation': 'running roughly parallel to the sidewalk'}, {'id': 'obj_5', 'class': 'street_lights', 'description': 'Multiple streetlights illuminating the sidewalk and roadway.', 'position': 'above and along the path and road', 'orientation': 'upright poles with lights facing downward'}, {'id': 'obj_6', 'class': 'traffic_lights', 'description': 'Green traffic signals visible in the distance near the roadway.', 'position': 'left background', 'orientation': 'facing along the road direction'}]</t>
  </si>
  <si>
    <t>[{'id': 'obj_1', 'class': 'sidewalk', 'description': 'Brick-paved sidewalk in the foreground and right side of the image', 'position': 'foreground and right side of scene, parallel to roadway', 'orientation': 'extends from bottom-right toward mid-left background'}, {'id': 'obj_2', 'class': 'roadway', 'description': 'Two-lane urban street with visible crosswalk markings', 'position': 'left and upper parts of the image adjacent to the sidewalk', 'orientation': 'runs horizontally across the frame'}, {'id': 'obj_3', 'class': 'crosswalk', 'description': 'Painted zebra crossing on the road near the center-left background', 'position': 'center-left of image at junction between sidewalk and road', 'orientation': 'perpendicular to direction of traffic'}, {'id': 'obj_4', 'class': 'car', 'description': 'Blue car driving or parked near the crosswalk on the right lane', 'position': 'upper-center of image on roadway', 'orientation': 'facing away from the camera along the road'}, {'id': 'obj_5', 'class': 'car', 'description': 'Yellow car parked on roadside behind the blue car', 'position': 'upper-left-center on road shoulder', 'orientation': 'aligned with road, facing away from camera'}, {'id': 'obj_6', 'class': 'car', 'description': 'Dark car parked further back along the street', 'position': 'far upper-left background', 'orientation': 'aligned with roadway'}, {'id': 'obj_7', 'class': 'traffic_sign', 'description': 'Vertical signpost with a no-turn or no-entry symbol', 'position': 'right side of image near curb between sidewalk and road', 'orientation': 'upright, sign facing traffic'}, {'id': 'obj_8', 'class': 'vegetation_debris', 'description': 'Pile of cut tree branches and leaves on the sidewalk edge', 'position': 'lower-left to mid-center of image along the curb', 'orientation': 'elongated mound parallel to curb'}, {'id': 'obj_9', 'class': 'trash_bin', 'description': 'Light-colored plastic container or trash bin toppled among the branches', 'position': 'near center of image on top of vegetation debris at curb edge', 'orientation': 'tilted/lying on its side'}]</t>
  </si>
  <si>
    <t>[{'id': 'obj_1', 'class': 'sidewalk', 'description': 'Wide concrete pedestrian path running from bottom center toward the distance, bordered by a brick edge on the right', 'position': 'center foreground extending to center background', 'orientation': 'aligned with road, receding away from camera'}, {'id': 'obj_2', 'class': 'sidewalk', 'description': 'Paved brick pedestrian path adjacent to hedges on the right side', 'position': 'right side foreground to right background', 'orientation': 'parallel to main sidewalk'}, {'id': 'obj_3', 'class': 'road', 'description': 'Multi-lane roadway with moving and parked vehicles, separated from sidewalk by a curb and planted strip', 'position': 'left side from foreground to background', 'orientation': 'parallel to sidewalk'}, {'id': 'obj_4', 'class': 'car', 'description': 'Parked white SUV near the curb on the left', 'position': 'left foreground', 'orientation': 'facing away from the camera along the road'}, {'id': 'obj_5', 'class': 'car', 'description': 'Parked dark-colored sedan behind the white SUV', 'position': 'left mid-foreground', 'orientation': 'facing away from the camera'}, {'id': 'obj_6', 'class': 'car', 'description': 'Light-colored sedan further down the road, may be moving or stopped at intersection', 'position': 'left mid-background', 'orientation': 'facing away from the camera'}, {'id': 'obj_7', 'class': 'traffic_light', 'description': 'Green traffic signal over the roadway in the distance', 'position': 'center background-left', 'orientation': 'facing traffic moving away from camera'}, {'id': 'obj_8', 'class': 'street_light', 'description': 'Series of lit street lamps along the roadway', 'position': 'left side from mid-foreground to background', 'orientation': 'vertical poles aligned along road'}, {'id': 'obj_9', 'class': 'tree', 'description': 'Medium tree with sparse foliage planted in strip between road and sidewalk', 'position': 'left foreground', 'orientation': 'upright, casting shadow on sidewalk'}, {'id': 'obj_10', 'class': 'vegetation', 'description': 'Tall dense tree and trimmed hedges along the right side of the sidewalk', 'position': 'right foreground and mid-ground', 'orientation': 'forming green barrier along sidewalk'}]</t>
  </si>
  <si>
    <t>[{'id': 'obj_1', 'class': 'sidewalk', 'description': 'Paved brick sidewalk running from foreground toward background along the street edge', 'position': 'occupies most of lower and central part of image', 'orientation': 'aligned roughly bottom-to-top of the frame'}, {'id': 'obj_2', 'class': 'street', 'description': 'Vehicle roadway to the left of the sidewalk with visible curb and lane where cars are traveling', 'position': 'left side mid to upper portion of image', 'orientation': 'runs roughly bottom-left to upper-right beyond the frame'}, {'id': 'obj_3', 'class': 'car', 'description': 'White car on the street near the curb, captured with motion blur', 'position': 'upper left quadrant near curb', 'orientation': 'facing roughly from right to left'}, {'id': 'obj_4', 'class': 'streetlight_pole', 'description': 'Vertical pole with black and white bands located on sidewalk near the curb', 'position': 'left-central edge of sidewalk near curb', 'orientation': 'vertical'}, {'id': 'obj_5', 'class': 'cardboard_box', 'description': 'Large upright cardboard box leaned against hedge on sidewalk', 'position': 'mid-right portion of image, between hedge and walking area', 'orientation': 'standing vertically, flat face toward camera'}, {'id': 'obj_6', 'class': 'cardboard_box', 'description': 'Even larger flattened cardboard box leaning against hedge behind first box', 'position': 'mid-right slightly further back than obj_5', 'orientation': 'angled, leaning toward sidewalk'}, {'id': 'obj_7', 'class': 'vegetation_hedge', 'description': 'Dense green hedge forming the right boundary of the sidewalk', 'position': 'right edge from mid-height upward', 'orientation': 'runs parallel to sidewalk'}, {'id': 'obj_8', 'class': 'manhole_cover', 'description': 'Circular manhole or utility cover embedded in sidewalk pavement', 'position': 'left side of sidewalk in lower-left quadrant', 'orientation': 'horizontal'}, {'id': 'obj_9', 'class': 'curb', 'description': 'Raised curb separating sidewalk from the street, with a red-white painted section', 'position': 'left side, running roughly bottom-left to upper-middle', 'orientation': 'parallel to street'}]</t>
  </si>
  <si>
    <t>[{'id': 'obj_1', 'class': 'sidewalk', 'description': 'Paved brick sidewalk running from foreground to background along the right side of the street', 'position': 'occupies most of lower and central part of image', 'orientation': 'aligned roughly vertically in the image'}, {'id': 'obj_2', 'class': 'cardboard_box', 'description': 'Tall rectangular cardboard box standing upright near the right edge against hedge and low wall', 'position': 'right-center of image adjacent to sidewalk edge', 'orientation': 'vertical, broad side facing camera'}, {'id': 'obj_3', 'class': 'bulk_waste', 'description': 'Large flat piece of cardboard or board leaning against wall and hedge behind the box', 'position': 'right-center, slightly behind obj_2 on sidewalk edge', 'orientation': 'leaning diagonally against wall'}, {'id': 'obj_4', 'class': 'hedge', 'description': 'Dense green hedge above low wall on right side', 'position': 'extends along right edge of image', 'orientation': 'vertical band on right'}, {'id': 'obj_5', 'class': 'car', 'description': 'White car on the street to the left, mostly visible side-on', 'position': 'left-middle of image on roadway', 'orientation': 'facing toward the right side of frame'}, {'id': 'obj_6', 'class': 'car', 'description': 'White SUV-like vehicle further back on the street, partially visible', 'position': 'upper-center of image on roadway near intersection or bend', 'orientation': 'angled slightly leftward'}, {'id': 'obj_7', 'class': 'traffic_post', 'description': 'Black-and-white striped roadside post or bollard near curb', 'position': 'near left-center edge, between sidewalk and street', 'orientation': 'vertical'}, {'id': 'obj_8', 'class': 'manhole_cover', 'description': 'Circular manhole cover in sidewalk near curb', 'position': 'left-lower quadrant close to curb line', 'orientation': 'horizontal'}, {'id': 'obj_9', 'class': 'debris', 'description': 'Small scattered debris or dirt on brick sidewalk surface', 'position': 'foreground and mid-ground of sidewalk area', 'orientation': 'spread irregularly'}]</t>
  </si>
  <si>
    <t>[{'id': 'obj_1', 'class': 'sidewalk', 'description': 'Brick-paved pedestrian sidewalk covering most of the frame', 'position': 'entire ground plane of the scene', 'orientation': 'extends from bottom foreground to upper background'}, {'id': 'obj_2', 'class': 'puddle', 'description': 'Standing water puddle on the sidewalk reflecting a pole and surroundings', 'position': 'upper-center of the sidewalk', 'orientation': 'roughly oval horizontal shape across walking path'}, {'id': 'obj_3', 'class': 'pole', 'description': 'Vertical pole with a lighter-colored base near the top center of the image', 'position': 'near the back-center edge of the sidewalk', 'orientation': 'vertical'}, {'id': 'obj_4', 'class': 'vehicle', 'description': 'Partially visible parked vehicle at the right edge of the image', 'position': 'right background, adjacent to sidewalk', 'orientation': 'parked parallel to sidewalk'}]</t>
  </si>
  <si>
    <t>[{'id': 'obj_1', 'class': 'car', 'description': 'Silver sedan parked at left side of image with front portion encroaching onto the sidewalk', 'position': 'left side, partially on the sidewalk adjacent to the curb', 'orientation': 'facing away from the camera toward the background street'}, {'id': 'obj_2', 'class': 'sidewalk', 'description': 'Paved pedestrian walkway running from foreground right toward the background, bordered by a low stone wall and bushes on the right', 'position': 'occupies central and right part of image', 'orientation': 'extends away from camera toward background intersection'}, {'id': 'obj_3', 'class': 'street', 'description': 'Roadway visible in the background beyond the sidewalk with traffic signs and street lighting', 'position': 'upper middle background', 'orientation': 'runs left-right across background'}, {'id': 'obj_4', 'class': 'vegetation', 'description': 'Bushes and trees lining the right side of the sidewalk and in background', 'position': 'right edge and upper part of image', 'orientation': 'parallel to sidewalk'}, {'id': 'obj_5', 'class': 'building', 'description': 'Multi-story urban buildings with illuminated windows in the background', 'position': 'upper left and center background', 'orientation': 'faces street'}]</t>
  </si>
  <si>
    <t>[{'id': 'obj_1', 'class': 'sidewalk', 'description': 'Paved brick sidewalk filling most of the frame', 'position': 'entire foreground and midground', 'orientation': 'extending away from camera toward upper part of image'}, {'id': 'obj_2', 'class': 'puddle', 'description': 'Large standing water puddle on the sidewalk surface', 'position': 'upper-center of the sidewalk', 'orientation': 'horizontal, reflecting nearby post and structures'}, {'id': 'obj_3', 'class': 'vehicle', 'description': 'Parked car at edge of frame', 'position': 'upper-right edge, partly visible beyond sidewalk', 'orientation': 'aligned roughly parallel to sidewalk'}, {'id': 'obj_4', 'class': 'post', 'description': 'Vertical post or bollard with a dark band', 'position': 'upper-right, just beyond sidewalk puddle', 'orientation': 'vertical'}]</t>
  </si>
  <si>
    <t>[{'id': 'obj_1', 'class': 'sidewalk', 'description': 'Wide tiled pedestrian sidewalk extending into the distance under streetlights', 'position': 'center foreground to background', 'orientation': 'aligned parallel to street, receding away from camera'}, {'id': 'obj_2', 'class': 'parked_cars', 'description': 'Row of parked cars along the curb of the adjacent street', 'position': 'right side of image, midground and background', 'orientation': 'parallel to sidewalk and roadway'}, {'id': 'obj_3', 'class': 'trees', 'description': 'Street trees with foliage overhanging the sidewalk and roadway', 'position': 'both sides of sidewalk, mainly left and upper center', 'orientation': 'vertical trunks with canopies extending over path'}, {'id': 'obj_4', 'class': 'fence', 'description': 'Metal fence along the left edge, separating sidewalk from an adjacent area', 'position': 'left side, foreground to midground', 'orientation': 'parallel to sidewalk'}, {'id': 'obj_5', 'class': 'fire_hydrant', 'description': 'Red fire hydrant mounted near the fence', 'position': 'left foreground', 'orientation': 'upright'}, {'id': 'obj_6', 'class': 'street_lights', 'description': 'Streetlights illuminating the sidewalk and street', 'position': 'mostly right and upper parts of scene', 'orientation': 'upright poles with downward lighting'}, {'id': 'obj_7', 'class': 'pedestrians', 'description': 'Small group or individual pedestrians far in the distance on the sidewalk', 'position': 'center background', 'orientation': 'walking along the sidewalk away from camera'}, {'id': 'obj_8', 'class': 'roadway', 'description': 'Adjacent vehicular roadway with visible traffic lights in the distance', 'position': 'right side, midground and background', 'orientation': 'parallel to sidewalk'}]</t>
  </si>
  <si>
    <t>[{'id': 'obj_1', 'class': 'sidewalk', 'description': 'Paved brick sidewalk running from foreground to background along the right side of the street', 'position': 'occupies most of the lower and central part of the image', 'orientation': 'aligned roughly from bottom to top of frame'}, {'id': 'obj_2', 'class': 'cardboard_box', 'description': 'Large upright cardboard box placed on the right side of the sidewalk adjacent to a hedge', 'position': 'right-center of the image, partially on pedestrian path', 'orientation': 'standing vertically with one face facing the camera'}, {'id': 'obj_3', 'class': 'cardboard_box', 'description': 'Second, even larger cardboard box leaning against wall/hedge on the right side of sidewalk', 'position': 'right-center behind obj_2, protruding slightly into sidewalk', 'orientation': 'leaning backward toward the hedge'}, {'id': 'obj_4', 'class': 'hedge', 'description': 'Dense green hedge forming a boundary along the right edge of the sidewalk', 'position': 'right edge of image, from mid-height to top', 'orientation': 'runs parallel to sidewalk'}, {'id': 'obj_5', 'class': 'car', 'description': 'White car on the street parallel to the sidewalk', 'position': 'upper left of the image', 'orientation': 'oriented roughly parallel to sidewalk'}, {'id': 'obj_6', 'class': 'car', 'description': 'Second white or light-colored car further back on the street', 'position': 'upper center-left of the image', 'orientation': 'parallel to sidewalk'}, {'id': 'obj_7', 'class': 'street_pole', 'description': 'Striped black-and-white pole on curb between sidewalk and street', 'position': 'left-center near the curb line', 'orientation': 'vertical'}, {'id': 'obj_8', 'class': 'roadway', 'description': 'Asphalt street adjacent to the sidewalk with curb and red-white curb painting', 'position': 'upper left portion of the image', 'orientation': 'runs horizontally across the frame'}]</t>
  </si>
  <si>
    <t>[{'id': 'obj_1', 'class': 'car', 'description': 'White Mazda CX-5 seen from the rear, stationary on the paved sidewalk area next to the roadway', 'position': 'center foreground on sidewalk, aligned parallel to road', 'orientation': 'facing away from the camera, rear toward viewer'}, {'id': 'obj_2', 'class': 'roadway', 'description': 'Two-lane urban street running left-right behind the parked car', 'position': 'background spanning left to right', 'orientation': 'horizontal across scene'}, {'id': 'obj_3', 'class': 'sidewalk', 'description': 'Paved pedestrian walkway with tree pit, mostly occupied by the car', 'position': 'foreground to midground beneath and around the car', 'orientation': 'extends from bottom of frame toward background'}, {'id': 'obj_4', 'class': 'tree_pit', 'description': 'Soil-filled square cutout in the sidewalk for a small tree or plant, currently bare', 'position': 'bottom right foreground', 'orientation': 'fixed in pavement'}, {'id': 'obj_5', 'class': 'traffic_sign', 'description': 'Illuminated warning/priority sign on pole near intersection', 'position': 'upper left background behind the car', 'orientation': 'facing toward approaching roadway traffic'}, {'id': 'obj_6', 'class': 'buildings', 'description': 'High-rise residential or office buildings with trees and landscaping', 'position': 'background upper half of image', 'orientation': 'vertical structures'}]</t>
  </si>
  <si>
    <t>[{'id': 'obj_1', 'class': 'sidewalk', 'description': 'Wide tiled pedestrian sidewalk extending from foreground to background along the center of the image', 'position': 'central foreground to distant background', 'orientation': 'aligned with camera view, receding into distance'}, {'id': 'obj_2', 'class': 'parked_cars', 'description': 'Row of cars parked parallel along the curb to the right of the sidewalk', 'position': 'right side, midground to background', 'orientation': 'parked facing away from camera along street direction'}, {'id': 'obj_3', 'class': 'trees', 'description': 'Mature street trees with dense foliage overhanging sidewalk and road', 'position': 'both sides of sidewalk, especially upper left and upper right', 'orientation': 'vertical trunks, canopies extending over walkway'}, {'id': 'obj_4', 'class': 'fence', 'description': 'Metal fence separating sidewalk from what appears to be a playground or lot', 'position': 'left side of image, foreground to midground', 'orientation': 'parallel to sidewalk'}, {'id': 'obj_5', 'class': 'fire_hydrant', 'description': 'Red fire hydrant next to metal fence', 'position': 'left side, near lower-left quadrant of image', 'orientation': 'upright'}, {'id': 'obj_6', 'class': 'roadway', 'description': 'Light-colored paved street with vehicles parked along curb', 'position': 'right edge of image, midground', 'orientation': 'parallel to sidewalk'}, {'id': 'obj_7', 'class': 'street_lights', 'description': 'Street lights and decorative lights illuminating sidewalk and road', 'position': 'upper right and background', 'orientation': 'upright poles with lights overhead'}]</t>
  </si>
  <si>
    <t>[{'id': 'obj_1', 'class': 'sidewalk', 'description': 'Brick-paved sidewalk in the foreground extending from bottom center toward the upper right side of the image.', 'position': 'foreground and midground, right side of scene', 'orientation': 'aligned roughly parallel to the roadway'}, {'id': 'obj_2', 'class': 'road', 'description': 'Paved road running along the left side of the sidewalk, curving near the top of the image toward a junction.', 'position': 'left side and upper portion of scene', 'orientation': 'curving from bottom left toward upper center'}, {'id': 'obj_3', 'class': 'car', 'description': 'White hatchback with red brake lights illuminated, oriented slightly diagonally at the junction, close to the edge of the sidewalk.', 'position': 'upper center of scene near transition between road and intersection', 'orientation': 'facing roughly away from the camera toward the top of the image'}, {'id': 'obj_4', 'class': 'car', 'description': 'White van-like vehicle parked or stopped across the road near the junction.', 'position': 'upper left of scene', 'orientation': 'facing toward the right side of the image'}, {'id': 'obj_5', 'class': 'car', 'description': 'Light-colored car beyond the white hatchback at the junction, partially visible.', 'position': 'upper center-right of scene, behind obj_3', 'orientation': 'facing toward camera or slightly left'}, {'id': 'obj_6', 'class': 'drain', 'description': 'Rectangular street drain cover in the gutter between sidewalk and road.', 'position': 'left of center in the lower middle of the image, at edge of curb', 'orientation': 'flat in ground'}, {'id': 'obj_7', 'class': 'retaining_wall', 'description': 'Low stone retaining wall separating sidewalk from elevated planted area on the right.', 'position': 'mid-right side of scene extending from center-right upward', 'orientation': 'roughly parallel to sidewalk'}, {'id': 'obj_8', 'class': 'vegetation', 'description': 'Bushes or shrubs above the retaining wall on the right side.', 'position': 'upper right edge of scene', 'orientation': 'bordering sidewalk'}]</t>
  </si>
  <si>
    <t>[{'id': 'obj_1', 'class': 'sidewalk', 'description': 'Paved brick sidewalk running from bottom foreground to mid-background along the right side of the street', 'position': 'covers most of lower and central-left image', 'orientation': 'aligned roughly bottom-to-top of image'}, {'id': 'obj_2', 'class': 'cardboard_box', 'description': 'Tall rectangular cardboard box standing upright on the right edge of the sidewalk next to vegetation and wall', 'position': 'right-center of image, partially on walking path', 'orientation': 'standing vertically'}, {'id': 'obj_3', 'class': 'large_flat_cardboard', 'description': 'Large flat piece of cardboard or panel leaned against wall/vegetation, protruding into sidewalk', 'position': 'right-middle of image, behind and to left of upright box, extending into path', 'orientation': 'leaning diagonally from ground up toward wall'}, {'id': 'obj_4', 'class': 'vegetation', 'description': 'Dense green bushes forming a hedge along the right side of the sidewalk', 'position': 'upper-right edge of image', 'orientation': 'linear along sidewalk edge'}, {'id': 'obj_5', 'class': 'car', 'description': 'White car parked or stopped on roadway adjacent to sidewalk', 'position': 'upper-left to upper-center of image', 'orientation': 'facing away from camera along roadway'}, {'id': 'obj_6', 'class': 'car', 'description': 'Light-colored SUV or hatchback on roadway near intersection', 'position': 'upper-center of image', 'orientation': 'angled slightly left, rear visible'}, {'id': 'obj_7', 'class': 'street_infrastructure', 'description': 'Vertical pole with black and white bands, possibly sign or bollard, at curb edge by intersection', 'position': 'just left of image center near curb', 'orientation': 'vertical'}, {'id': 'obj_8', 'class': 'manhole_cover', 'description': 'Round manhole cover embedded in sidewalk surface', 'position': 'left-center foreground of sidewalk', 'orientation': 'horizontal'}]</t>
  </si>
  <si>
    <t>[{'id': 'obj_1', 'class': 'sidewalk', 'description': 'Paved brick pedestrian walkway extending from foreground to background along the right side of the street', 'position': 'center of image, longitudinally from bottom to mid-top', 'orientation': 'aligned away from camera toward background'}, {'id': 'obj_2', 'class': 'road', 'description': 'Multi-lane roadway with moving/queued vehicles parallel to the sidewalk', 'position': 'left side of image, running from lower-left toward mid-background', 'orientation': 'parallel to sidewalk'}, {'id': 'obj_3', 'class': 'cars', 'description': 'Multiple cars with headlights and taillights visible on the road', 'position': 'left-mid and left-background of the image', 'orientation': 'facing away from camera along the road'}, {'id': 'obj_4', 'class': 'street_light', 'description': 'Tall street lamp illuminating sidewalk and part of the road', 'position': 'upper-center/right, extending from right edge over sidewalk', 'orientation': 'lamp head above center of image facing downward'}, {'id': 'obj_5', 'class': 'vegetation', 'description': 'Palm tree, hedges, and low plants forming landscaped strips between road and sidewalk and along right side', 'position': 'left-center (palm), right edge (hedges), and left-lower (ground plants)', 'orientation': 'stationary landscaping'}, {'id': 'obj_6', 'class': 'guardrail', 'description': 'Low metal rail separating plants from sidewalk near the road side', 'position': 'left-lower to left-mid along edge of sidewalk', 'orientation': 'parallel to sidewalk and road'}, {'id': 'obj_7', 'class': 'curb', 'description': 'Raised concrete curb marking the right edge of the sidewalk', 'position': 'right-lower edge extending toward mid-right', 'orientation': 'parallel to sidewalk'}, {'id': 'obj_8', 'class': 'traffic_sign', 'description': 'Small triangular or yield-type road sign at the end of the visible sidewalk', 'position': 'center-background near end of path', 'orientation': 'facing approaching road traffic'}, {'id': 'obj_9', 'class': 'buildings', 'description': 'Low-rise commercial buildings with illuminated storefronts on left and residential/other buildings on right/back', 'position': 'left-background and right-background', 'orientation': 'fronts facing road/sidewalk'}]</t>
  </si>
  <si>
    <t>[{'id': 'obj_1', 'class': 'sidewalk', 'description': 'Brick-paved sidewalk running from foreground bottom-right toward mid-right background', 'position': 'right side of scene, foreground to mid-ground', 'orientation': 'parallel to roadway'}, {'id': 'obj_2', 'class': 'road', 'description': 'Two-lane urban street with painted crosswalk', 'position': 'left half and center background of scene', 'orientation': 'runs horizontally across image'}, {'id': 'obj_3', 'class': 'car', 'description': 'Blue car stopped or parked near crosswalk facing right', 'position': 'center-right background on roadway near crosswalk', 'orientation': 'rear facing camera'}, {'id': 'obj_4', 'class': 'car', 'description': 'Yellow car parked on far side of the street', 'position': 'upper-center background, beyond crosswalk', 'orientation': 'side facing camera'}, {'id': 'obj_5', 'class': 'car', 'description': 'Small dark car parked along curb on far side', 'position': 'upper-left background', 'orientation': 'side facing camera'}, {'id': 'obj_6', 'class': 'traffic_sign', 'description': 'No-turn or restriction sign mounted on pole on sidewalk', 'position': 'upper-right, near curb between sidewalk and road', 'orientation': 'sign face toward roadway'}, {'id': 'obj_7', 'class': 'vegetation_debris', 'description': 'Pile of cut branches and leaves lying along edge of sidewalk adjacent to road', 'position': 'lower-left to mid-right foreground, partly on sidewalk edge and extending toward curb', 'orientation': 'elongated pile parallel to curb'}, {'id': 'obj_8', 'class': 'container_debris', 'description': 'White plastic container or bin lying on its side within vegetation pile', 'position': 'left-center foreground at boundary between sidewalk and road', 'orientation': 'opening facing right, tipped over'}]</t>
  </si>
  <si>
    <t>[{'id': 'obj_1', 'class': 'sidewalk', 'description': 'Paved brick sidewalk running from foreground to background along the right side of the road', 'position': 'occupies most of the lower and central part of the image', 'orientation': 'aligned parallel to the roadway'}, {'id': 'obj_2', 'class': 'cardboard_boxes', 'description': 'Two large upright cardboard boxes leaning against hedge and low wall, partially blocking sidewalk', 'position': 'right side of image near mid‑depth along the sidewalk edge', 'orientation': 'standing vertically, one directly on sidewalk, one leaning behind it'}, {'id': 'obj_3', 'class': 'hedge', 'description': 'Dense green hedge along a low stone wall lining the sidewalk edge', 'position': 'right edge of image from mid‑height upward', 'orientation': 'parallel to sidewalk'}, {'id': 'obj_4', 'class': 'road', 'description': 'Vehicle roadway adjacent to sidewalk with visible curb and red‑white painted edge', 'position': 'left side and upper part of image', 'orientation': 'parallel to sidewalk'}, {'id': 'obj_5', 'class': 'car', 'description': 'White car driving along the road, partially blurred indicating motion', 'position': 'upper left quadrant of image on the road', 'orientation': 'moving left-to-right relative to camera'}, {'id': 'obj_6', 'class': 'pole', 'description': 'Striped vertical pole/signpost between sidewalk and road', 'position': 'left-center of image near curb line', 'orientation': 'vertical'}, {'id': 'obj_7', 'class': 'manhole_cover', 'description': 'Circular manhole cover embedded in sidewalk paving', 'position': 'left side of sidewalk in lower-left quadrant', 'orientation': 'horizontal'}]</t>
  </si>
  <si>
    <t>[{'id': 'obj_1', 'class': 'pedestrian', 'description': 'Person in dark clothing with red bag walking toward the camera in the center of the crosswalk', 'position': 'center of crosswalk, foreground-middle', 'orientation': 'facing toward camera, moving toward near side of road'}, {'id': 'obj_2', 'class': 'pedestrian', 'description': 'Person in lighter jacket crossing from right to left on the crosswalk', 'position': 'right side of crosswalk, mid-distance', 'orientation': 'body angled left, moving left across frame'}, {'id': 'obj_3', 'class': 'car', 'description': 'Black SUV stopped or slowly moving across the far end of the crosswalk from right to left', 'position': 'far side of intersection, aligned across the crosswalk', 'orientation': 'side-on, moving or positioned leftward'}, {'id': 'obj_4', 'class': 'car', 'description': 'White car on the far left lane of the intersecting street', 'position': 'far left background, on crossing street', 'orientation': 'moving rightward'}, {'id': 'obj_5', 'class': 'car', 'description': 'Multiple additional vehicles and headlights in background traffic queue', 'position': 'background center and right on intersecting street', 'orientation': 'various, mostly aligned with main road directions'}, {'id': 'obj_6', 'class': 'traffic_light', 'description': 'Pedestrian green signal above the crosswalk facing the camera', 'position': 'upper center above intersection', 'orientation': 'facing toward approaching pedestrians and camera'}, {'id': 'obj_7', 'class': 'traffic_light', 'description': 'Vehicle red lights for traffic parallel/perpendicular to crosswalk', 'position': 'upper center and right in background', 'orientation': 'facing respective vehicle approaches'}, {'id': 'obj_8', 'class': 'crosswalk', 'description': 'Zebra crosswalk with wide white stripes extending from camera foreground to intersection', 'position': 'dominant foreground, leading to far side of street', 'orientation': 'perpendicular to intersecting traffic'}, {'id': 'obj_9', 'class': 'street_infrastructure', 'description': 'Streetlights, signal poles, curbs, and sidewalks at intersection', 'position': 'around edges of intersection, especially far side and right side', 'orientation': 'vertical poles; sidewalks parallel to roads'}]</t>
  </si>
  <si>
    <t>[{'id': 'obj_1', 'class': 'sidewalk', 'description': 'Wide brick-paved sidewalk running from foreground to background along the right side of the road.', 'position': 'right side of the scene, occupying most of the image foreground and midground', 'orientation': 'extends away from the camera parallel to the road'}, {'id': 'obj_2', 'class': 'road', 'description': 'Asphalt roadway with lane markings and curb, carrying light vehicular traffic.', 'position': 'left side of the image, parallel to the sidewalk', 'orientation': 'extends away from the camera'}, {'id': 'obj_3', 'class': 'car', 'description': 'Moving car in the nearest lane driving away from the camera.', 'position': 'left midground', 'orientation': 'facing away from the camera along the road'}, {'id': 'obj_4', 'class': 'cars', 'description': 'Several additional vehicles further along the road with headlights and taillights visible.', 'position': 'left background', 'orientation': 'aligned with road direction'}, {'id': 'obj_5', 'class': 'street_lights', 'description': 'Series of street light poles illuminating the road and partially the sidewalk.', 'position': 'left and central upper part of the scene along the curb line', 'orientation': 'vertical poles aligned along the road'}, {'id': 'obj_6', 'class': 'trees', 'description': 'Mature trees and vegetation lining the sidewalk and separating it from a darker vegetated area.', 'position': 'right side and upper central part of the image', 'orientation': 'vertical trunks, canopy extending over sidewalk'}, {'id': 'obj_7', 'class': 'curb', 'description': 'Raised curb between sidewalk and road with red-and-white painted edge.', 'position': 'between road and sidewalk, left edge of sidewalk', 'orientation': 'extends along road direction'}, {'id': 'obj_8', 'class': 'debris', 'description': 'Small leaf or piece of debris on the sidewalk.', 'position': 'lower central foreground of the sidewalk', 'orientation': 'lying flat on pavement'}]</t>
  </si>
  <si>
    <t>[{'id': 'obj_1', 'class': 'sidewalk', 'description': 'Wide paved pedestrian sidewalk running from foreground toward the intersection', 'position': 'dominant central area of the image, foreground to midground', 'orientation': 'extends from bottom center toward upper center-right'}, {'id': 'obj_2', 'class': 'road', 'description': 'Vehicle roadway with lane markings and crosswalk at an intersection', 'position': 'left and upper-central part of the image beyond the sidewalk edge', 'orientation': 'runs roughly from lower-left to upper-center'}, {'id': 'obj_3', 'class': 'car', 'description': 'Dark car stopped or moving slowly near the intersection', 'position': 'left-center near intersection edge', 'orientation': 'roughly facing away from camera along the road'}, {'id': 'obj_4', 'class': 'vehicles', 'description': 'Line of multiple cars with headlights and taillights farther along the road', 'position': 'background left along roadway', 'orientation': 'aligned along the road direction'}, {'id': 'obj_5', 'class': 'street_light', 'description': 'Tall streetlights illuminating the road and sidewalk', 'position': 'left and right sides of upper portion of image', 'orientation': 'vertical poles'}, {'id': 'obj_6', 'class': 'vegetation', 'description': 'Bushes and plants bordering the sidewalk and road', 'position': 'left and right edges of sidewalk', 'orientation': 'linear strips along path edges'}, {'id': 'obj_7', 'class': 'traffic_sign', 'description': 'Yield or similar triangular traffic sign at the intersection', 'position': 'upper-center-right near crosswalk', 'orientation': 'facing approaching road traffic'}, {'id': 'obj_8', 'class': 'puddle_or_wet_patch', 'description': 'Irregular reflective wet or slick area on the sidewalk surface', 'position': 'right side of the sidewalk in the mid-foreground', 'orientation': 'spread along surface'}]</t>
  </si>
  <si>
    <t>[{'id': 'obj_1', 'class': 'sidewalk', 'description': 'Wide paved pedestrian walkway made of rectangular bricks extending from foreground to background center.', 'position': 'center of scene, running longitudinally into depth', 'orientation': 'aligned with camera viewing direction along the street'}, {'id': 'obj_2', 'class': 'road', 'description': 'Multi-lane roadway with vehicles and lane markings to the left of the sidewalk, separated by a curb and metal barrier.', 'position': 'left side of scene, parallel to sidewalk', 'orientation': 'same direction as sidewalk'}, {'id': 'obj_3', 'class': 'vehicle', 'description': 'Several cars visible as light trails and illuminated bodies traveling along the roadway.', 'position': 'mid-left to background-left on the road', 'orientation': 'moving along the road, away from and toward the camera'}, {'id': 'obj_4', 'class': 'streetlight', 'description': 'Modern pole streetlights providing illumination to sidewalk and road.', 'position': 'center-left line along edge between road and sidewalk', 'orientation': 'vertical poles with lights projecting downward'}, {'id': 'obj_5', 'class': 'fence', 'description': 'Tall white metal fence atop a stone wall along the right side of the sidewalk.', 'position': 'right edge of scene, parallel to sidewalk', 'orientation': 'vertical bars aligned along street direction'}, {'id': 'obj_6', 'class': 'vegetation', 'description': 'Bushes and low shrubs in a planted strip between sidewalk and wall; trees along the road side.', 'position': 'right and left sides bordering sidewalk and road', 'orientation': 'stationary landscaping'}, {'id': 'obj_7', 'class': 'barrier', 'description': 'Metal roadside barrier/railing separating roadway from sidewalk and planted median.', 'position': 'left side between road and sidewalk, extending into background', 'orientation': 'parallel to road'}, {'id': 'obj_8', 'class': 'building', 'description': 'Multi-story urban buildings visible in the background beyond the trees and lights.', 'position': 'background center and left', 'orientation': 'facing street'}]</t>
  </si>
  <si>
    <t>[{'id': 'obj_1', 'class': 'car', 'description': 'Silver SUV parked with right-side wheels on sidewalk in left foreground, facing away from camera.', 'position': 'foreground left, encroaching onto sidewalk and partly on curbside', 'orientation': 'parked parallel to street, rear toward camera'}, {'id': 'obj_2', 'class': 'car', 'description': 'Dark-colored SUV parked ahead of obj_1, also close to or partially on sidewalk.', 'position': 'midground center-left along curb line', 'orientation': 'parallel to street, rear partly visible'}, {'id': 'obj_3', 'class': 'car', 'description': 'White car further ahead along curb on right side of frame.', 'position': 'background right along curb line', 'orientation': 'parallel to street'}, {'id': 'obj_4', 'class': 'building', 'description': 'Mid-rise residential/commercial building with air-conditioner units and lit windows.', 'position': 'left side background', 'orientation': 'front facade facing street'}, {'id': 'obj_5', 'class': 'building', 'description': 'High-rise residential towers in far background.', 'position': 'center and right background', 'orientation': 'front facades facing street'}, {'id': 'obj_6', 'class': 'street_light', 'description': 'Tall streetlights illuminating roadway and sidewalk.', 'position': 'right side and background along street edge', 'orientation': 'vertical, above curb'}, {'id': 'obj_7', 'class': 'sidewalk', 'description': 'Paved pedestrian sidewalk mostly occupied by parked cars near curb.', 'position': 'bottom and mid-left of image, adjacent to roadway', 'orientation': 'runs from foreground to background along street'}, {'id': 'obj_8', 'class': 'roadway', 'description': 'Asphalt street running parallel to parked cars.', 'position': 'right half of image', 'orientation': 'extends from foreground right to background'}, {'id': 'obj_9', 'class': 'sign', 'description': 'Vertical pole-mounted sign with text in a non-Latin script (likely Hebrew).', 'position': 'right mid-background near curb', 'orientation': 'facing toward traffic'}]</t>
  </si>
  <si>
    <t>[{'id': 'obj_1', 'class': 'pedestrian_path', 'description': 'Main asphalt pedestrian walkway running from bottom foreground to upper background center of image, showing multiple longitudinal cracks', 'position': 'center of scene, extending from near bottom edge to top edge', 'orientation': 'aligned roughly vertically from bottom to top of image'}, {'id': 'obj_2', 'class': 'surface_discontinuity', 'description': 'Transverse step/crack line across the width of the asphalt path, forming a noticeable level change', 'position': 'across the middle of the walkway, about one-third up from the bottom edge', 'orientation': 'horizontal, spanning left to right across path'}, {'id': 'obj_3', 'class': 'vegetation', 'description': 'Bushes and low plants along the left side of the path, separated by a curb', 'position': 'left side of scene parallel to the path', 'orientation': 'linear strip along left edge'}, {'id': 'obj_4', 'class': 'paved_side_strip', 'description': 'Brick or tile strip running parallel to the asphalt path on the right side', 'position': 'right side of scene parallel to the path', 'orientation': 'aligned vertically from bottom-right towards top-right'}]</t>
  </si>
  <si>
    <t>[{'id': 'obj_1', 'class': 'sidewalk', 'description': 'Paved pedestrian sidewalk running from foreground to background along left side of image', 'position': 'occupies most of left half of image, extending from bottom edge into depth', 'orientation': 'aligned roughly vertically in image, following street direction'}, {'id': 'obj_2', 'class': 'cardboard_box', 'description': 'Large open cardboard box on sidewalk with other cardboard pieces and plastic bags protruding from it', 'position': 'left-center foreground, adjacent to low wall on right edge of sidewalk', 'orientation': 'box opening facing toward camera, tall flat cardboard leaning diagonally upward'}, {'id': 'obj_3', 'class': 'debris', 'description': 'Loose cardboard pieces and plastic packaging lying near low wall and on ground behind box', 'position': 'right-center of image along the low wall and ground strip', 'orientation': 'scattered horizontally'}, {'id': 'obj_4', 'class': 'low_wall', 'description': 'Concrete low wall separating sidewalk from higher ground area with vegetation/debris', 'position': 'runs vertically along right side of image from bottom to mid-height', 'orientation': 'parallel to sidewalk'}, {'id': 'obj_5', 'class': 'car', 'description': 'White passenger car parked on street adjacent to sidewalk', 'position': 'left-middle background', 'orientation': 'parked parallel to curb, facing away from camera'}, {'id': 'obj_6', 'class': 'car', 'description': 'Dark-colored car parked across the street', 'position': 'center-right background', 'orientation': 'parked parallel to opposite curb'}, {'id': 'obj_7', 'class': 'traffic_sign', 'description': 'Blue circular right-turn-only sign above triangular yield sign', 'position': 'upper-left quadrant near curb and white car', 'orientation': 'facing toward oncoming street traffic'}, {'id': 'obj_8', 'class': 'traffic_sign', 'description': 'Blue rectangular pedestrian crossing sign on pole', 'position': 'upper-center-right background near opposite sidewalk', 'orientation': 'facing roadway'}, {'id': 'obj_9', 'class': 'building', 'description': 'Multi-story residential building with balconies and windows', 'position': 'background filling upper half of image', 'orientation': 'façade facing street'}, {'id': 'obj_10', 'class': 'vegetation', 'description': 'Bush and some grass/ground plants near sidewalk and behind wall', 'position': 'bush at left-center behind box, grass along right side behind wall', 'orientation': 'fixed to ground'}, {'id': 'obj_11', 'class': 'street_lighting', 'description': 'Illumination from off-frame streetlights creating shadows on sidewalk', 'position': 'light casting from top/front onto entire scene', 'orientation': 'downward'}]</t>
  </si>
  <si>
    <t>[{'id': 'obj_1', 'class': 'pedestrian', 'description': 'Single adult walking away from camera on paved sidewalk, carrying a turquoise bag.', 'position': 'center foreground on sidewalk', 'orientation': 'back facing camera, moving forward along sidewalk'}, {'id': 'obj_2', 'class': 'sidewalk', 'description': 'Paved pedestrian walkway running from foreground to background.', 'position': 'occupies lower and central part of scene', 'orientation': 'aligned roughly from bottom to top of image'}, {'id': 'obj_3', 'class': 'parked_cars', 'description': 'Row of cars parked along curb beside sidewalk.', 'position': 'left side of image along edge of sidewalk', 'orientation': 'parallel to sidewalk'}, {'id': 'obj_4', 'class': 'wall_rail', 'description': 'Low stone retaining wall separating sidewalk from planted area/building setback.', 'position': 'right side of sidewalk from foreground to background', 'orientation': 'parallel to sidewalk'}, {'id': 'obj_5', 'class': 'street_lighting', 'description': 'Street lights illuminating area in low-light evening conditions.', 'position': 'background and upper left portion of image', 'orientation': 'vertical poles'}, {'id': 'obj_6', 'class': 'trees_vegetation', 'description': 'Trees and shrubs adjacent to sidewalk and behind wall.', 'position': 'left and right sides of scene', 'orientation': 'vertical trunks with foliage'}, {'id': 'obj_7', 'class': 'buildings', 'description': 'Mid-rise residential or mixed-use buildings flanking the street.', 'position': 'background and right side of image', 'orientation': 'vertical facades'}]</t>
  </si>
  <si>
    <t>[{'id': 'obj_1', 'class': 'car', 'description': 'White hatchback with brake lights on, positioned at the corner encroaching onto the sidewalk area', 'position': 'upper-center of the frame at the curbline between roadway and sidewalk', 'orientation': 'facing roughly toward the right side of the image, angled slightly toward the viewer'}, {'id': 'obj_2', 'class': 'car', 'description': 'Light-colored car ahead of obj_1 in the intersection area', 'position': 'upper-right background, beyond obj_1', 'orientation': 'facing toward the right side of the image'}, {'id': 'obj_3', 'class': 'van', 'description': 'White van parked along the opposite side of the street', 'position': 'upper-left background, adjacent to curb', 'orientation': 'parallel to the roadway, facing right'}, {'id': 'obj_4', 'class': 'sidewalk', 'description': 'Brick-paved sidewalk running from foreground to the intersection', 'position': 'occupies lower and mid-right of the frame', 'orientation': 'aligned roughly from bottom toward upper-center'}, {'id': 'obj_5', 'class': 'roadway', 'description': 'Paved street adjacent to the sidewalk near an intersection', 'position': 'left and upper portions of the frame next to the curb', 'orientation': 'running generally from bottom-left toward upper-right'}, {'id': 'obj_6', 'class': 'curb', 'description': 'Raised curb separating the roadway and sidewalk', 'position': 'runs from bottom-center toward upper-center of the image', 'orientation': 'diagonal from bottom toward top'}, {'id': 'obj_7', 'class': 'drainage_grate', 'description': 'Metal street drain installed in the curb line near the intersection', 'position': 'mid-left near the curb at the transition between sidewalk and street', 'orientation': 'perpendicular to curb'}, {'id': 'obj_8', 'class': 'bollard_or_post', 'description': 'Short vertical post along the edge of the sidewalk near the corner', 'position': 'upper-right near the curb and wall', 'orientation': 'vertical'}, {'id': 'obj_9', 'class': 'wall', 'description': 'Low retaining wall edging the right side of the sidewalk with vegetation above', 'position': 'right edge of image from mid to upper-right', 'orientation': 'parallel to sidewalk'}]</t>
  </si>
  <si>
    <t>[{'id': 'obj_1', 'class': 'sidewalk', 'description': 'Paved pedestrian sidewalk running from foreground toward background along the right side of the street', 'position': 'occupies most of the lower and central part of the image', 'orientation': 'extends from bottom center toward upper center'}, {'id': 'obj_2', 'class': 'car', 'description': 'White car parked along the curb on the right edge of the sidewalk', 'position': 'right side of image, mid to foreground', 'orientation': 'parked parallel to the sidewalk facing away from camera'}, {'id': 'obj_3', 'class': 'debris', 'description': 'Large pile of bulky waste (furniture or appliances with fabric and other items) lying across the sidewalk', 'position': 'center of the image slightly above mid-height, between hedge and parked car', 'orientation': 'sprawled horizontally, blocking full width of sidewalk'}, {'id': 'obj_4', 'class': 'hedge', 'description': 'Dense green hedge forming a raised boundary wall along the left side of the sidewalk', 'position': 'left edge of the image', 'orientation': 'runs parallel to sidewalk'}, {'id': 'obj_5', 'class': 'cars', 'description': 'Several additional parked cars along the street further in the background', 'position': 'upper center and upper right background', 'orientation': 'aligned with roadway'}, {'id': 'obj_6', 'class': 'street', 'description': 'Roadway adjacent to the sidewalk where multiple cars are parked', 'position': 'right background of the image', 'orientation': 'parallel to sidewalk'}]</t>
  </si>
  <si>
    <t>[{'id': 'obj_1', 'class': 'sidewalk', 'description': 'Wide brick-paved sidewalk running from foreground to background on the right side of the road', 'position': 'right side of scene, occupying most of the lower and central area', 'orientation': 'aligned parallel to the road, receding into the distance'}, {'id': 'obj_2', 'class': 'road', 'description': 'Asphalt roadway with lane markings and curb, carrying light vehicle traffic', 'position': 'left side of scene, running from lower left toward center background', 'orientation': 'parallel to the sidewalk, receding into the distance'}, {'id': 'obj_3', 'class': 'car', 'description': 'Moving car with headlights and tail lights visible, slightly blurred due to motion', 'position': 'left-middle of image on the road', 'orientation': 'traveling away from the camera along the road'}, {'id': 'obj_4', 'class': 'street_lights', 'description': 'Series of tall street lights illuminating the road and sidewalk', 'position': 'left and central upper parts of the scene along the road edge', 'orientation': 'vertical poles aligned along the roadway'}, {'id': 'obj_5', 'class': 'trees', 'description': 'Row of mature trees lining the sidewalk, creating a canopy over parts of it', 'position': 'center and right side of image along the inner edge of the sidewalk', 'orientation': 'vertical trunks with overhanging branches'}, {'id': 'obj_6', 'class': 'curb', 'description': 'Painted curb separating sidewalk from road with sections in white, red, and yellow', 'position': 'between road and sidewalk from bottom left to mid-background', 'orientation': 'parallel to road and sidewalk'}, {'id': 'obj_7', 'class': 'vegetation', 'description': 'Low shrubs and ground cover along the right edge near the trees', 'position': 'right edge of the image running along the sidewalk', 'orientation': 'linear strip parallel to sidewalk'}]</t>
  </si>
  <si>
    <t>[{'id': 'obj_1', 'class': 'pathway', 'description': 'Central asphalt path extending into the distance, possibly for pedestrians or cyclists', 'position': 'center of image, running from bottom foreground to top center', 'orientation': 'aligned roughly along image vertical axis'}, {'id': 'obj_2', 'class': 'sidewalk', 'description': 'Paved brick sidewalk separated from asphalt path by a brick border', 'position': 'right side of image, parallel to main path', 'orientation': 'aligned along image vertical axis'}, {'id': 'obj_3', 'class': 'vehicle', 'description': 'White van parked along the curb on the roadway', 'position': 'left midground, parallel to the path', 'orientation': 'facing away from camera along road'}, {'id': 'obj_4', 'class': 'vehicles', 'description': 'Row of additional parked cars along the street', 'position': 'left side, mid to far background', 'orientation': 'parallel to the roadway'}, {'id': 'obj_5', 'class': 'roadway', 'description': 'Vehicle roadway running parallel to the path with moving traffic lights visible in distance', 'position': 'far left of image, largely outside main walking path', 'orientation': 'parallel to main path'}, {'id': 'obj_6', 'class': 'street_lighting', 'description': 'Series of streetlights illuminating the path and roadway', 'position': 'upper left and upper center areas', 'orientation': 'vertical poles with lights overhead'}, {'id': 'obj_7', 'class': 'vegetation', 'description': 'Trees, bushes, and planted strip between path and roadway', 'position': 'left planting strip and right greenbelt area', 'orientation': 'lining both sides of walkway'}]</t>
  </si>
  <si>
    <t>[{'id': 'obj_1', 'class': 'sidewalk', 'description': 'Paved pedestrian walkway running from foreground to background', 'position': 'center of image extending depthwise', 'orientation': 'aligned roughly with camera viewing direction'}, {'id': 'obj_2', 'class': 'car', 'description': 'White SUV parked on the right side of the sidewalk area', 'position': 'right side, occupying part of the paved path', 'orientation': 'parked parallel to sidewalk, facing away from camera'}, {'id': 'obj_3', 'class': 'car', 'description': 'White car parked further ahead near the top center of the frame', 'position': 'upper center background, adjacent to roadway', 'orientation': 'parallel to road'}, {'id': 'obj_4', 'class': 'debris', 'description': 'Large pile of discarded furniture or bulky waste items on the sidewalk', 'position': 'center background, blocking most of the walkway between hedge and parked car', 'orientation': 'irregular, stacked'}, {'id': 'obj_5', 'class': 'vegetation', 'description': 'Tall hedge or dense plants forming a boundary along the left side of the sidewalk', 'position': 'left side of image', 'orientation': 'linear along sidewalk'}, {'id': 'obj_6', 'class': 'road', 'description': 'Vehicle roadway adjacent to sidewalk with additional parked cars', 'position': 'upper right beyond sidewalk', 'orientation': 'parallel to sidewalk'}, {'id': 'obj_7', 'class': 'street_lighting', 'description': 'Illumination consistent with streetlights, indicating low-light/night conditions', 'position': 'off-frame above, light falling across scene', 'orientation': 'overhead'}]</t>
  </si>
  <si>
    <t>[{'id': 'obj_1', 'class': 'sidewalk', 'description': 'Paved brick sidewalk running from foreground to background through center of frame', 'position': 'central and right side of scene', 'orientation': 'aligned along image depth direction'}, {'id': 'obj_2', 'class': 'roadway', 'description': 'Asphalt street with painted white markings adjacent to sidewalk', 'position': 'left edge of scene', 'orientation': 'parallel to sidewalk'}, {'id': 'obj_3', 'class': 'parked_car', 'description': 'Dark-colored car parked along curb beside sidewalk', 'position': 'upper left of scene at curb', 'orientation': 'facing away from camera along roadway'}, {'id': 'obj_4', 'class': 'curb', 'description': 'Raised curb with red-and-white paint separating sidewalk from street', 'position': 'left side, between sidewalk and roadway', 'orientation': 'longitudinal, following street'}, {'id': 'obj_5', 'class': 'utility_box', 'description': 'Rectangular utility or electrical box beside the sidewalk', 'position': 'right side, mid-to-upper portion of scene adjacent to walking path', 'orientation': 'faces sidewalk'}, {'id': 'obj_6', 'class': 'tree', 'description': 'Tree trunk emerging from sidewalk area near parked car', 'position': 'upper center-left of scene', 'orientation': 'vertical trunk'}]</t>
  </si>
  <si>
    <t>[{'id': 'obj_1', 'class': 'sidewalk', 'description': 'Wide brick-paved sidewalk occupying the right and central foreground, running parallel to the road', 'position': 'foreground and midground right', 'orientation': 'extends from bottom center toward upper right'}, {'id': 'obj_2', 'class': 'road', 'description': 'Two-lane-looking paved roadway with curb and painted red-yellow edge markings', 'position': 'left side of image, running from bottom left toward mid-left background', 'orientation': 'extends diagonally from lower left to upper left'}, {'id': 'obj_3', 'class': 'car', 'description': 'Single car with illuminated taillights traveling away from camera', 'position': 'mid-left background on the road', 'orientation': 'moving away from viewer along road'}, {'id': 'obj_4', 'class': 'street_light', 'description': 'Tall street lamp illuminating the road area', 'position': 'upper left above road', 'orientation': 'vertical pole with light facing downward'}, {'id': 'obj_5', 'class': 'trees', 'description': 'Row of mature trees lining the sidewalk and road, creating shaded/dark areas', 'position': 'left and right margins, arching over sidewalk and road', 'orientation': 'vertical trunks with canopies overhanging'}, {'id': 'obj_6', 'class': 'vegetation', 'description': 'Bushes and low plants in landscaped strip to the right of the sidewalk', 'position': 'right edge of image', 'orientation': 'linear strip following sidewalk'}, {'id': 'obj_7', 'class': 'bus_stop_or_street_furniture', 'description': 'Dark structure along the sidewalk that appears to be a bus stop or signpost with seating or box', 'position': 'mid-right background adjacent to sidewalk', 'orientation': 'aligned parallel to sidewalk'}, {'id': 'obj_8', 'class': 'curb', 'description': 'Raised curb separating sidewalk from road with red and yellow painted sections', 'position': 'between sidewalk and road along left-center edge', 'orientation': 'follows the road and sidewalk alignment'}]</t>
  </si>
  <si>
    <t>[{'id': 'obj_1', 'class': 'sidewalk', 'description': 'Wide paved brick sidewalk extending straight into the distance through the center of the image', 'position': 'central foreground to background', 'orientation': 'aligned roughly along image depth, leading away from camera'}, {'id': 'obj_2', 'class': 'road', 'description': 'Roadway running parallel to the sidewalk on the left side with curb and lane markings faintly visible', 'position': 'left side of image from foreground to background', 'orientation': 'parallel to sidewalk'}, {'id': 'obj_3', 'class': 'trees', 'description': 'Row of mature trees along both sides of the sidewalk forming a canopy and casting shadows', 'position': 'mostly upper half of image, flanking both sides of sidewalk', 'orientation': 'vertical trunks, branches overhanging walkway'}, {'id': 'obj_4', 'class': 'vegetation', 'description': 'Low shrubs and planted strip between sidewalk and road, and bushes on right side bed', 'position': 'left and right edges of sidewalk', 'orientation': 'ground-level plantings'}, {'id': 'obj_5', 'class': 'street_lighting', 'description': 'Artificial lighting illuminating the sidewalk and green-lit trees near the road', 'position': 'out of frame but casting light across scene, with visible illuminated areas on left background', 'orientation': 'light cast downward onto walkway and vegetation'}, {'id': 'obj_6', 'class': 'traffic_lights', 'description': 'Small red and green traffic lights visible in the distant background near the roadway', 'position': 'center-left background', 'orientation': 'facing along the road direction'}, {'id': 'obj_7', 'class': 'buildings', 'description': 'Urban buildings visible through trees on the far left and right background', 'position': 'far background left and right', 'orientation': 'vertical facades parallel to road'}]</t>
  </si>
  <si>
    <t>[{'id': 'obj_1', 'class': 'sidewalk', 'description': 'Paved pedestrian sidewalk running along the left side of the street', 'position': 'left side of image, extending from foreground to background', 'orientation': 'parallel to street'}, {'id': 'obj_2', 'class': 'car', 'description': 'Silver car parked at the curb along the sidewalk, rear visible', 'position': 'center-left, mid-ground', 'orientation': 'facing away from the camera along the street'}, {'id': 'obj_3', 'class': 'car', 'description': 'White car parked on the right side of the street', 'position': 'right side, mid-ground', 'orientation': 'aligned with street, facing away from camera'}, {'id': 'obj_4', 'class': 'cardboard_boxes', 'description': 'Large cardboard appliance boxes and packaging placed on sidewalk and partly over street markings', 'position': 'bottom-center foreground, spanning from sidewalk to edge of roadway', 'orientation': 'piled horizontally across walking path'}, {'id': 'obj_5', 'class': 'street', 'description': 'Two-way residential street with painted white markings near the curb', 'position': 'right half of image, from foreground to background', 'orientation': 'extends away from camera'}, {'id': 'obj_6', 'class': 'building', 'description': 'Multi-story residential buildings with balconies and lit windows', 'position': 'right and background', 'orientation': 'facing street'}, {'id': 'obj_7', 'class': 'vegetation', 'description': 'Bushes and trees along left side of street and in background', 'position': 'left side and distant background', 'orientation': 'lining sidewalk and property edges'}]</t>
  </si>
  <si>
    <t>[{'id': 'obj_1', 'class': 'pathway', 'description': 'Central paved path extending from foreground to background, likely for pedestrians or mixed use', 'position': 'center of image, running longitudinally from bottom to mid-background', 'orientation': 'aligned roughly vertical in the image, leading away from the viewer'}, {'id': 'obj_2', 'class': 'sidewalk', 'description': 'Brick-paved strip along the right side of the main path', 'position': 'right side of image, parallel to main pathway', 'orientation': 'vertical in image, leading away from viewer'}, {'id': 'obj_3', 'class': 'sidewalk', 'description': 'Light-colored paved sidewalk area to the left of the main path with planted shrubs', 'position': 'left side of image, parallel to main pathway', 'orientation': 'vertical in image'}, {'id': 'obj_4', 'class': 'bus', 'description': 'Red bus with illuminated rear lights on an adjacent road in the background', 'position': 'left-center background, partially obscured by trees', 'orientation': 'facing away from the camera along the roadway'}, {'id': 'obj_5', 'class': 'car', 'description': 'Blurred light trail of a car traveling along the roadway behind the bushes', 'position': 'far left background', 'orientation': 'moving horizontally across the scene'}, {'id': 'obj_6', 'class': 'trees', 'description': 'Mature trees lining both sides of the pathway', 'position': 'left and right sides, middle to upper portions of image', 'orientation': 'vertical trunks with branching canopies'}, {'id': 'obj_7', 'class': 'streetlight', 'description': 'Bright streetlight illuminating the right side of the path', 'position': 'upper-right corner, light spilling onto path', 'orientation': 'lamp head angled downward'}, {'id': 'obj_8', 'class': 'fence', 'description': 'Greenish wall or fence with perforated panels on right, enclosing a property', 'position': 'right mid-background', 'orientation': 'horizontal, parallel to pathway'}, {'id': 'obj_9', 'class': 'bollards', 'description': 'Short cylindrical bollards at edge of sidewalk near fenced area', 'position': 'right mid-background near base of fence', 'orientation': 'vertical'}, {'id': 'obj_10', 'class': 'shrubs', 'description': 'Low shrubs bordering the left side of the pathway separating it from the road', 'position': 'left midground along edge of path', 'orientation': 'linear strip parallel to path'}]</t>
  </si>
  <si>
    <t>[{'id': 'obj_1', 'class': 'sidewalk', 'description': 'Wide brick-paved sidewalk extending from foreground bottom center toward the background, left side of the image.', 'position': 'dominant central and left area of scene', 'orientation': 'aligned parallel to street, receding into distance'}, {'id': 'obj_2', 'class': 'parked_cars', 'description': 'Row of cars parked along the right side of the street, adjacent to the sidewalk curb.', 'position': 'right edge of image, from foreground to mid-background', 'orientation': 'parallel to curb and sidewalk'}, {'id': 'obj_3', 'class': 'street', 'description': 'Narrow roadway adjacent to the parked cars, partially visible beyond the vehicles.', 'position': 'far right side of image, beyond parked cars', 'orientation': 'parallel to sidewalk, receding into background'}, {'id': 'obj_4', 'class': 'curb_marking', 'description': 'Red-and-white painted curb line next to the parked cars.', 'position': 'right side along base of parked cars', 'orientation': 'linear, following curb'}, {'id': 'obj_5', 'class': 'building_wall', 'description': 'Low stone wall and utility structure bordering the left side of the sidewalk.', 'position': 'left side from foreground to mid-background', 'orientation': 'parallel to sidewalk'}, {'id': 'obj_6', 'class': 'street_lighting', 'description': 'Streetlights illuminating the sidewalk and street.', 'position': 'mid to upper right and mid-left background', 'orientation': 'vertical poles'}, {'id': 'obj_7', 'class': 'trees', 'description': 'Mature trees and a palm tree lining the street and sidewalk.', 'position': 'upper left and upper right background', 'orientation': 'vertical trunks with canopies overhanging sidewalk and street'}]</t>
  </si>
  <si>
    <t>[{'id': 'obj_1', 'class': 'sidewalk', 'description': 'Paved pedestrian sidewalk running from foreground to background along the right side of the street, partially blocked.', 'position': 'extends from bottom center foreground to mid and upper center of the image', 'orientation': 'parallel to street direction'}, {'id': 'obj_2', 'class': 'car', 'description': 'White car parked on the right side, occupying part of the sidewalk edge and close to the obstruction area.', 'position': 'right side, front portion in mid-foreground', 'orientation': 'aligned roughly parallel to sidewalk and street'}, {'id': 'obj_3', 'class': 'car', 'description': 'White car parked ahead near the center background on or beside the roadway.', 'position': 'center-top of image', 'orientation': 'aligned with street'}, {'id': 'obj_4', 'class': 'vegetation_hedge', 'description': 'Tall hedge forming a continuous barrier along the left edge of the sidewalk.', 'position': 'left side of image from foreground to background', 'orientation': 'parallel to sidewalk'}, {'id': 'obj_5', 'class': 'fallen_structure', 'description': 'Large piece of furniture or structural object (possibly a cabinet or kiosk) lying on its side with various panels and parts scattered.', 'position': 'center of the sidewalk in mid-ground', 'orientation': 'collapsed across the walking path'}, {'id': 'obj_6', 'class': 'debris', 'description': 'Loose debris, cloth or plastic sheets, and small fragments scattered around the fallen structure on the sidewalk surface.', 'position': 'center of sidewalk around obj_5 in mid-ground', 'orientation': 'lying flat on ground'}, {'id': 'obj_7', 'class': 'roadway', 'description': 'Street area adjacent to the sidewalk with additional parked vehicles in the background.', 'position': 'upper part of image behind sidewalk and cars', 'orientation': 'runs horizontally into depth of image'}]</t>
  </si>
  <si>
    <t>[{'id': 'obj_1', 'class': 'sidewalk', 'description': 'Brick-paved sidewalk in the foreground running along the right side of the street', 'position': 'right side of image, foreground to midground', 'orientation': 'parallel to street'}, {'id': 'obj_2', 'class': 'vegetation_debris', 'description': 'Large pile of cut branches and leaves placed on the sidewalk near the curb', 'position': 'lower center of image, along curb between sidewalk and street', 'orientation': 'elongated pile parallel to curb'}, {'id': 'obj_3', 'class': 'trash_container', 'description': 'White plastic trash bin lying on its side among the branches', 'position': 'center of image, on top of vegetation pile near curb', 'orientation': 'tipped over, opening facing left'}, {'id': 'obj_4', 'class': 'car', 'description': 'Blue car parked at curb on opposite side of the street, facing right', 'position': 'upper right-center of image, adjacent to crosswalk', 'orientation': 'parallel to curb'}, {'id': 'obj_5', 'class': 'car', 'description': 'Yellow car parked behind the blue car on the opposite side of the street', 'position': 'upper center of image, behind obj_4', 'orientation': 'parallel to curb'}, {'id': 'obj_6', 'class': 'car', 'description': 'Dark car parked further back along the opposite curb', 'position': 'upper left of image, background', 'orientation': 'parallel to curb'}, {'id': 'obj_7', 'class': 'crosswalk', 'description': 'Marked pedestrian crosswalk across the street', 'position': 'upper center of image in roadway', 'orientation': 'perpendicular to street direction'}, {'id': 'obj_8', 'class': 'traffic_sign', 'description': 'Vertical pole with circular prohibitory sign (likely no parking/standing) next to sidewalk', 'position': 'upper right edge of image, beside curb', 'orientation': 'upright'}, {'id': 'obj_9', 'class': 'street', 'description': 'Two-way urban street with parked cars along far curb', 'position': 'middle of image, spanning left to right', 'orientation': 'horizontal across scene'}]</t>
  </si>
  <si>
    <t>[{'id': 'obj_1', 'class': 'car', 'description': 'White SUV parked along curb on left side of frame, partially intruding onto sidewalk area at front', 'position': 'left side, mid-ground near curb between sidewalk and street', 'orientation': 'front facing toward camera'}, {'id': 'obj_2', 'class': 'sidewalk', 'description': 'Paved pedestrian walkway running from bottom foreground to upper center-right, with damaged and uneven sections', 'position': 'occupies most of lower and central part of frame', 'orientation': 'extends longitudinally away from camera'}, {'id': 'obj_3', 'class': 'discarded_object', 'description': 'Large white rectangular panel or appliance part leaning against a low planter or wall, jutting out into sidewalk', 'position': 'right side of sidewalk in mid-ground', 'orientation': 'tilted diagonally, leaning from planter toward walking path'}, {'id': 'obj_4', 'class': 'planter_or_low_wall', 'description': 'Rectangular concrete block at base of shrub, bordering edge of sidewalk', 'position': 'right side, mid-ground near obj_3', 'orientation': 'aligned along sidewalk edge'}, {'id': 'obj_5', 'class': 'roadway', 'description': 'Two-way urban street with parked cars along curb', 'position': 'left side of frame parallel to sidewalk', 'orientation': 'extends away from camera'}, {'id': 'obj_6', 'class': 'vegetation', 'description': 'Bushes or shrubs planted along edge of sidewalk behind planter', 'position': 'right side mid-ground, behind obj_3', 'orientation': 'vertical growth along boundary'}]</t>
  </si>
  <si>
    <t>[{'id': 'obj_1', 'class': 'roadway', 'description': 'Asphalt road surface at an intersection, including a pedestrian crosswalk', 'position': 'occupies most of the lower and central part of the scene', 'orientation': 'road runs roughly left-right with crosswalk perpendicular from bottom toward left'}, {'id': 'obj_2', 'class': 'crosswalk', 'description': 'Painted white zebra-style pedestrian crosswalk', 'position': 'left side extending from bottom edge toward mid-left', 'orientation': 'perpendicular to the road, running bottom-left to upper-left'}, {'id': 'obj_3', 'class': 'curb', 'description': 'Sidewalk curb with red and white paint', 'position': 'bottom edge and mid-right edge of the scene', 'orientation': 'mostly horizontal along the bottom, turning upward on the right'}, {'id': 'obj_4', 'class': 'building', 'description': 'Light-colored residential or mixed-use building with parking area and balcony', 'position': 'right-central and upper-right background', 'orientation': 'faces the street'}, {'id': 'obj_5', 'class': 'parked_cars', 'description': 'Row of parked cars along the side street', 'position': 'left background along the side street', 'orientation': 'aligned parallel to the side street'}, {'id': 'obj_6', 'class': 'streetlight_pole', 'description': 'Vertical pole with parking and street signs attached', 'position': 'near center-left, adjacent to corner of building', 'orientation': 'vertical'}, {'id': 'obj_7', 'class': 'clothing_item', 'description': 'Crumpled plaid or multi-colored garment lying on the road surface', 'position': 'center foreground slightly right of image center, between curb and crosswalk', 'orientation': 'lying flat on the asphalt'}, {'id': 'obj_8', 'class': 'small_object', 'description': 'Small light-colored object (possibly a comb or plastic item) on the road near the clothing', 'position': 'just to the right of the clothing item near image center-right', 'orientation': 'lying flat on the asphalt'}]</t>
  </si>
  <si>
    <t>[{'id': 'obj_1', 'class': 'sidewalk', 'description': 'Brick-paved sidewalk occupying most of the foreground and right side of the frame', 'position': 'foreground and midground, center to right of image', 'orientation': 'aligned roughly parallel to the street'}, {'id': 'obj_2', 'class': 'street_curb', 'description': 'Raised curb with red and white painted markings separating sidewalk from the roadway', 'position': 'left side of image, running from bottom to top', 'orientation': 'diagonal from lower-left towards upper-center'}, {'id': 'obj_3', 'class': 'car', 'description': 'Dark-colored car parked along the curb near the top-left of the frame', 'position': 'upper-left corner, adjacent to curb', 'orientation': 'aligned with the curb, facing away from the camera'}, {'id': 'obj_4', 'class': 'street', 'description': 'Roadway with white painted markings visible left of the curb', 'position': 'left edge of the frame', 'orientation': 'parallel to curb'}, {'id': 'obj_5', 'class': 'street_light_or_pole', 'description': 'Vertical pole/structure near the upper-right edge by the sidewalk', 'position': 'upper-right side of the frame next to the sidewalk', 'orientation': 'vertical'}, {'id': 'obj_6', 'class': 'surface_defect', 'description': 'Areas of worn, patched, or stained bricks scattered on the sidewalk surface', 'position': 'mid-foreground center of image on the walking path', 'orientation': 'horizontal patches across walking path'}]</t>
  </si>
  <si>
    <t>[{'id': 'obj_1', 'class': 'paved_pathway', 'description': 'Central asphalt or concrete path occupying most of the frame, extending away from the camera.', 'position': 'center of scene, foreground to background', 'orientation': 'aligned roughly vertically in the image'}, {'id': 'obj_2', 'class': 'side_pavement', 'description': 'Lighter-colored tiled pavement strip along the left edge of the path.', 'position': 'left side of scene, parallel to main path', 'orientation': 'vertical along image left'}, {'id': 'obj_3', 'class': 'side_pavement', 'description': 'Darker block-paved strip with a red border along the right edge of the path.', 'position': 'right side of scene, parallel to main path', 'orientation': 'vertical along image right'}, {'id': 'obj_4', 'class': 'surface_cracks', 'description': 'Multiple longitudinal and transverse cracks running along and across the central path surface.', 'position': 'center of scene, from bottom foreground toward upper center', 'orientation': 'main crack oriented vertically with smaller lateral branches'}, {'id': 'obj_5', 'class': 'stain_or_worn_patch', 'description': 'Circular darker stained or worn patch on the right side of the central path.', 'position': 'upper-right quadrant of central path', 'orientation': 'roughly circular, fixed on surface'}]</t>
  </si>
  <si>
    <t>[{'id': 'obj_1', 'class': 'sidewalk', 'description': 'Brick-paved pedestrian walkway occupying most of the frame', 'position': 'extends from foreground bottom to background top, covering the scene', 'orientation': 'aligned roughly vertically in the image'}, {'id': 'obj_2', 'class': 'puddle', 'description': 'Large shallow puddle of standing water on the sidewalk surface', 'position': 'central upper-middle area of the walkway', 'orientation': 'horizontal planar surface reflecting light and a pole'}, {'id': 'obj_3', 'class': 'pole', 'description': 'Vertical pole near top-right edge, partly visible and reflected in the puddle', 'position': 'upper-right edge of the scene adjacent to the walkway', 'orientation': 'vertical'}, {'id': 'obj_4', 'class': 'fence', 'description': 'Low fence or railing with vegetation behind it on the left side', 'position': 'left edge running from mid to upper-left of the scene', 'orientation': 'parallel to walkway'}]</t>
  </si>
  <si>
    <t>[{'id': 'obj_1', 'class': 'walkway', 'description': 'Wide paved pedestrian path extending into the distance in the left half of the image', 'position': 'foreground to background, left-center', 'orientation': 'aligned away from camera toward background'}, {'id': 'obj_2', 'class': 'sidewalk', 'description': 'Brick-pattern paved path running parallel to the main walkway on the right side', 'position': 'foreground to background, right side', 'orientation': 'aligned away from camera toward background'}, {'id': 'obj_3', 'class': 'vehicle_van', 'description': 'White van parked along the left side near the planted median', 'position': 'mid-left of image', 'orientation': 'facing away from camera along roadway behind vegetation'}, {'id': 'obj_4', 'class': 'vehicle_car', 'description': 'Several cars visible behind the van along the roadway, with headlights and taillights', 'position': 'left background', 'orientation': 'aligned along the road parallel to walkway'}, {'id': 'obj_5', 'class': 'streetlight', 'description': 'Tall streetlight pole with two lamps illuminating the walkway area', 'position': 'upper left-center', 'orientation': 'vertical'}, {'id': 'obj_6', 'class': 'streetlight', 'description': 'Decorative lamp post on the right edge near bushes', 'position': 'right mid-foreground', 'orientation': 'vertical'}, {'id': 'obj_7', 'class': 'traffic_signal', 'description': 'Green traffic light visible in the distant background at end of path', 'position': 'center background', 'orientation': 'facing along the vehicle roadway'}, {'id': 'obj_8', 'class': 'vegetation', 'description': 'Bushes and small trees along both sides of the walkway and median', 'position': 'left and right sides of scene', 'orientation': 'n/a'}]</t>
  </si>
  <si>
    <t>[{'id': 'obj_1', 'class': 'sidewalk', 'description': 'Main paved pedestrian path extending from bottom center into the distance', 'position': 'center foreground to center background', 'orientation': 'aligned roughly away from the camera'}, {'id': 'obj_2', 'class': 'sidewalk', 'description': 'Secondary tiled sidewalk running parallel on the right side near buildings', 'position': 'right foreground to right midground', 'orientation': 'parallel to main path'}, {'id': 'obj_3', 'class': 'road', 'description': 'Vehicle roadway with several cars and a red traffic light visible through trees on the left', 'position': 'left midground to background', 'orientation': 'parallel to sidewalks'}, {'id': 'obj_4', 'class': 'car', 'description': 'White car on the roadway facing away from the camera, part of a line of traffic', 'position': 'left midground', 'orientation': 'away from camera'}, {'id': 'obj_5', 'class': 'traffic_light', 'description': 'Red traffic signal controlling roadway traffic', 'position': 'left midground', 'orientation': 'facing approaching road traffic'}, {'id': 'obj_6', 'class': 'tree', 'description': 'Large tree overhanging main path', 'position': 'upper center-left', 'orientation': 'branches extending over sidewalk'}, {'id': 'obj_7', 'class': 'vegetation', 'description': 'Low hedges and bushes bordering the left side of the main path', 'position': 'left foreground to left midground', 'orientation': 'linear along path edge'}, {'id': 'obj_8', 'class': 'vegetation', 'description': 'Bushes and small hedges along the right near buildings', 'position': 'right foreground to right midground', 'orientation': 'linear along tiled sidewalk'}, {'id': 'obj_9', 'class': 'building', 'description': 'Multi-story residential or mixed-use buildings to the right side, partially visible behind trees', 'position': 'right midground to background', 'orientation': 'front façades roughly facing the street'}, {'id': 'obj_10', 'class': 'street_light', 'description': 'Street lighting illuminating sidewalk and roadway', 'position': 'out of frame but lighting evident across scene', 'orientation': 'overhead illumination'}]</t>
  </si>
  <si>
    <t>[{'id': 'obj_1', 'class': 'sidewalk', 'description': 'Wide paved pedestrian path with two surface types (pavers on the right, rougher surface on the left) running from bottom foreground toward the center background', 'position': 'center and right side of scene', 'orientation': 'extends longitudinally away from camera'}, {'id': 'obj_2', 'class': 'road', 'description': 'Multi-lane roadway with vehicles and street lighting parallel to the sidewalk, separated by a curb and planted strip', 'position': 'left side of scene', 'orientation': 'extends from bottom-left foreground toward upper-center background'}, {'id': 'obj_3', 'class': 'car', 'description': 'Moving or stopped cars with headlights/taillights visible on the road', 'position': 'mid-left to upper-center along the roadway', 'orientation': 'aligned with road direction'}, {'id': 'obj_4', 'class': 'street_light', 'description': 'Series of street lights illuminating both sidewalk and road', 'position': 'upper-left and upper-center edges of scene', 'orientation': 'vertical poles along road'}, {'id': 'obj_5', 'class': 'vegetation', 'description': 'Trees, shrubs, and planted flowerbeds between road and sidewalk and along the right side of the sidewalk', 'position': 'left-center median area and right edge of scene', 'orientation': 'linear plantings along boundaries'}, {'id': 'obj_6', 'class': 'building', 'description': 'High-rise buildings with illuminated windows in the far background', 'position': 'upper-center background', 'orientation': 'vertical structures'}, {'id': 'obj_7', 'class': 'surface_defect', 'description': 'Dark patches or stains on the rougher portion of the sidewalk surface', 'position': 'lower-center foreground of the sidewalk', 'orientation': 'flat on ground'}]</t>
  </si>
  <si>
    <t>[{'id': 'obj_1', 'class': 'sidewalk', 'description': 'Paved pedestrian sidewalk extending into the background, made of rectangular dark tiles.', 'position': 'covers most of the frame from center to right side and into depth', 'orientation': 'horizontal plane, receding away from camera'}, {'id': 'obj_2', 'class': 'tree_planter', 'description': 'Rectangular soil/planter area on the left edge with exposed soil and a circular metal element or pipe.', 'position': 'bottom-left corner of the image', 'orientation': 'aligned with sidewalk edge'}, {'id': 'obj_3', 'class': 'damaged_pavement', 'description': 'Multiple sidewalk tiles misaligned, cracked, and vertically displaced creating an uneven surface and gaps.', 'position': 'lower central area slightly right of center, extending upward toward mid-frame', 'orientation': 'tiles lifted and shifted relative to surrounding flat pavement'}, {'id': 'obj_4', 'class': 'street_lighting_shadow', 'description': 'Strong shadows cast on the pavement, likely from street lighting and a person/object out of frame.', 'position': 'lower and mid sections, primarily center and right areas of the sidewalk', 'orientation': 'shadows stretching diagonally across tiles'}]</t>
  </si>
  <si>
    <t>[{'id': 'obj_1', 'class': 'sidewalk', 'description': 'Paved pedestrian sidewalk running along the left side of the street', 'position': 'left side of scene', 'orientation': 'parallel to roadway, extending from foreground to background'}, {'id': 'obj_2', 'class': 'car', 'description': 'Light-colored sedan parked at curbside adjacent to sidewalk', 'position': 'center of scene, between sidewalk and roadway', 'orientation': 'aligned with direction of street, facing away from camera'}, {'id': 'obj_3', 'class': 'roadway', 'description': 'Two-way residential street with cars parked along right side and road markings near foreground', 'position': 'right and center of scene', 'orientation': 'extends from foreground bottom toward background top'}, {'id': 'obj_4', 'class': 'waste_debris', 'description': 'Bulky waste item (large appliance box or fan unit) with multiple cardboard boxes and packaging, placed on sidewalk edge directly behind parked car', 'position': 'lower center-left, partly on sidewalk and extending toward roadway', 'orientation': 'cluster oriented roughly perpendicular to curb'}, {'id': 'obj_5', 'class': 'parked_cars', 'description': 'Multiple additional sedans parked along right side of street', 'position': 'right mid-to-background', 'orientation': 'aligned with street direction'}, {'id': 'obj_6', 'class': 'buildings', 'description': 'Mid-rise residential buildings with balconies and windows along both sides of street', 'position': 'both sides, mainly right and background', 'orientation': 'frontages facing street'}, {'id': 'obj_7', 'class': 'vegetation', 'description': 'Trees, bushes and palm fronds lining left side of sidewalk', 'position': 'left side from foreground to background', 'orientation': 'vertical along edge of sidewalk'}, {'id': 'obj_8', 'class': 'street_light', 'description': 'Lit streetlamps illuminating the roadway and sidewalk', 'position': 'background left and mid-distance', 'orientation': 'upright'}]</t>
  </si>
  <si>
    <t>[{'id': 'obj_1', 'class': 'sidewalk', 'description': 'Paved brick sidewalk extending from bottom center toward the upper part of the image', 'position': 'foreground and midground center, parallel to street', 'orientation': 'aligned lengthwise with street direction'}, {'id': 'obj_2', 'class': 'roadway', 'description': 'Asphalt street running along the left side of the sidewalk with painted white markings', 'position': 'left side of image, parallel to sidewalk', 'orientation': 'extends from bottom left toward upper left'}, {'id': 'obj_3', 'class': 'car', 'description': 'Dark-colored parked car with illuminated license plate near upper left of image along curb', 'position': 'upper left, adjacent to curb', 'orientation': 'parked facing away from camera along the street'}, {'id': 'obj_4', 'class': 'curb', 'description': 'Red-and-white painted curb separating sidewalk from roadway', 'position': 'left edge of sidewalk, running from lower left toward upper center', 'orientation': 'parallel to sidewalk and street'}, {'id': 'obj_5', 'class': 'building_wall', 'description': 'Building frontage or wall bordering the sidewalk on the right side', 'position': 'right edge of image', 'orientation': 'parallel to sidewalk'}, {'id': 'obj_6', 'class': 'street_markings', 'description': 'White painted diagonal and edge lines on roadway near parked car', 'position': 'left side near lower and mid-left of image', 'orientation': 'angled and longitudinal relative to curb'}, {'id': 'obj_7', 'class': 'pavement_stains', 'description': 'Dark patches and stains on the sidewalk surface', 'position': 'mid-right area of sidewalk', 'orientation': 'flat on pavement surface'}]</t>
  </si>
  <si>
    <t>[{'id': 'obj_1', 'class': 'pedestrian_path', 'description': 'Paved brick sidewalk on the right side of the image extending into the distance', 'position': 'foreground and midground right, running longitudinally toward background center', 'orientation': 'aligned with camera viewing direction'}, {'id': 'obj_2', 'class': 'service_lane_or_path', 'description': 'Light-colored paved strip on the left side parallel to the sidewalk, possibly for bikes or service vehicles', 'position': 'foreground and midground left, parallel to the main pedestrian path', 'orientation': 'aligned with camera viewing direction'}, {'id': 'obj_3', 'class': 'road', 'description': 'Vehicle roadway with moving cars, visible further left beyond vegetation', 'position': 'left background, partially obscured by trees and bushes', 'orientation': 'roughly parallel to the pedestrian path'}, {'id': 'obj_4', 'class': 'car', 'description': 'Car with illuminated red tail lights driving along the road', 'position': 'left mid-background on the roadway', 'orientation': 'facing away from the camera'}, {'id': 'obj_5', 'class': 'vegetation', 'description': 'Bushes, flowers, and small trees lining both sides of the central paths', 'position': 'left and right edges of the pedestrian and service paths', 'orientation': 'static landscaping'}, {'id': 'obj_6', 'class': 'street_light', 'description': 'Illuminated street lights along the pathway and road', 'position': 'primarily along the center and right background', 'orientation': 'upright vertical poles'}, {'id': 'obj_7', 'class': 'building', 'description': 'Tall high-rise buildings visible in the distant background', 'position': 'center-top background against the night sky', 'orientation': 'upright vertical'}, {'id': 'obj_8', 'class': 'pedestrian_sign', 'description': 'Traffic or pedestrian warning sign near the left side of the path close to the road', 'position': 'left midground near transition to the road', 'orientation': 'facing oncoming road traffic'}]</t>
  </si>
  <si>
    <t>[{'id': 'obj_1', 'class': 'sidewalk', 'description': 'Main concrete pedestrian sidewalk extending from foreground to background with visible surface cracks', 'position': 'central area of the image, spanning most of the width', 'orientation': 'aligned roughly from bottom (foreground) to top (background) of the frame'}, {'id': 'obj_2', 'class': 'paved_path', 'description': 'Brick or tile paved strip running parallel to the sidewalk', 'position': 'right side of the image, parallel to the concrete sidewalk', 'orientation': 'runs from bottom-right toward top-right'}, {'id': 'obj_3', 'class': 'vegetation', 'description': 'Low bushes and plants in a landscaped strip bordered by curbstones', 'position': 'left side of the image along the edge of the sidewalk', 'orientation': 'runs parallel to the sidewalk from bottom-left to top-left'}, {'id': 'obj_4', 'class': 'surface_discontinuity', 'description': 'Pronounced transverse joint or step in the sidewalk where two slabs meet, creating a vertical height difference and gap', 'position': 'across the width of the sidewalk in the lower third of the image', 'orientation': 'roughly horizontal across the frame'}, {'id': 'obj_5', 'class': 'surface_cracks', 'description': 'Longitudinal and branching cracks running along the sidewalk surface', 'position': 'center of the sidewalk from mid to upper part of the image', 'orientation': 'mainly vertical, following the path direction'}]</t>
  </si>
  <si>
    <t>[{'id': 'obj_1', 'class': 'sidewalk', 'description': 'Brick-paved sidewalk occupying most of the frame, extending from foreground to background', 'position': 'center and right side of scene', 'orientation': 'extends longitudinally from bottom toward top of image'}, {'id': 'obj_2', 'class': 'roadway', 'description': 'Asphalt street with white painted markings visible at left edge of frame', 'position': 'left edge of scene', 'orientation': 'runs roughly parallel to the sidewalk'}, {'id': 'obj_3', 'class': 'car', 'description': 'Dark-colored parked car partly visible near the top left of the frame adjacent to the sidewalk', 'position': 'upper left', 'orientation': 'aligned lengthwise with the curb'}, {'id': 'obj_4', 'class': 'curb_marking', 'description': 'Red and white painted curb line separating sidewalk from road', 'position': 'left side between sidewalk and roadway', 'orientation': 'runs parallel to the street'}, {'id': 'obj_5', 'class': 'pole_or_column', 'description': 'Light-colored vertical structure at the right edge near the mid-upper part of the image, likely a lighting or utility pole or building column', 'position': 'right edge, mid to upper portion', 'orientation': 'vertical'}, {'id': 'obj_6', 'class': 'surface_defect', 'description': 'Darker patches and irregular bricks on the sidewalk surface, possibly repairs or minor damage', 'position': 'center of sidewalk, mid to upper part of image', 'orientation': 'scattered small areas'}]</t>
  </si>
  <si>
    <t>[{'id': 'obj_1', 'class': 'sidewalk', 'description': 'Brick-paved pedestrian walkway filling most of the frame', 'position': 'extends from foreground bottom to background top across the image', 'orientation': 'aligned roughly along image vertical axis'}, {'id': 'obj_2', 'class': 'puddle', 'description': 'Standing water forming a shallow puddle on the sidewalk', 'position': 'upper-central area of the sidewalk', 'orientation': 'irregular round shape'}, {'id': 'obj_3', 'class': 'vehicle', 'description': 'Parked car partially visible at top-right edge of image', 'position': 'top-right edge adjacent to the sidewalk', 'orientation': 'parked parallel to sidewalk'}, {'id': 'obj_4', 'class': 'bollard', 'description': 'Short post with contrasting bands next to the parked vehicle', 'position': 'near top-center-right, beside the sidewalk', 'orientation': 'vertical'}, {'id': 'obj_5', 'class': 'pedestrian_shadow', 'description': 'Shadow of a person cast on the sidewalk in the lower-right area', 'position': 'lower-right foreground', 'orientation': 'shadow extending upward'}]</t>
  </si>
  <si>
    <t>[{'id': 'obj_1', 'class': 'sidewalk', 'description': 'Brick-paved pedestrian sidewalk in the foreground and right side of the image', 'position': 'foreground and right side, adjacent to street', 'orientation': 'runs roughly bottom to upper left'}, {'id': 'obj_2', 'class': 'construction_debris', 'description': 'Tall stack of boards or panels leaning against a pole and cabinet on the sidewalk', 'position': 'right-center of image on sidewalk', 'orientation': 'leaning diagonally toward pole and cabinet'}, {'id': 'obj_3', 'class': 'trash_bag', 'description': 'Large yellow plastic bag filled with waste on the sidewalk near the panels', 'position': 'center-left of foreground on sidewalk edge', 'orientation': 'upright'}, {'id': 'obj_4', 'class': 'utility_pole', 'description': "Metal utility/electrical pole with boxes and cables, bearing a 'Danger of Death' warning sign", 'position': 'right-center background next to debris', 'orientation': 'vertical'}, {'id': 'obj_5', 'class': 'utility_box', 'description': 'Large gray electrical/utility cabinet on the right edge of the sidewalk', 'position': 'far right foreground', 'orientation': 'front face visible'}, {'id': 'obj_6', 'class': 'pedestrian', 'description': 'Two blurred pedestrians walking along or crossing near the intersection', 'position': 'left side mid-ground close to curb', 'orientation': 'moving left-to-right across scene'}, {'id': 'obj_7', 'class': 'car', 'description': 'Car approaching or stopped at the intersection in the background', 'position': 'left background near crosswalk', 'orientation': 'facing toward camera along side street'}, {'id': 'obj_8', 'class': 'crosswalk', 'description': 'Painted pedestrian crosswalk across the street at the intersection', 'position': 'center background from left curb into mid-scene', 'orientation': 'perpendicular to viewing direction'}, {'id': 'obj_9', 'class': 'building', 'description': 'Multi-story residential building along the street', 'position': 'center background', 'orientation': 'front facade facing street'}, {'id': 'obj_10', 'class': 'street_lamp', 'description': 'Tall street lights illuminating the intersection', 'position': 'upper center background', 'orientation': 'vertical poles'}]</t>
  </si>
  <si>
    <t>[{'id': 'obj_1', 'class': 'sidewalk', 'description': 'Brick-paved sidewalk running from bottom-right foreground toward mid-right background along the street', 'position': 'right side of scene', 'orientation': 'parallel to roadway'}, {'id': 'obj_2', 'class': 'road', 'description': 'Two-lane urban street with visible crosswalk markings and parked/moving cars', 'position': 'left and upper portions of scene', 'orientation': 'runs horizontally across image'}, {'id': 'obj_3', 'class': 'car', 'description': 'Blue car on the roadway near a crosswalk, oriented away from the camera', 'position': 'upper-center of scene', 'orientation': 'facing away from camera along the street'}, {'id': 'obj_4', 'class': 'car', 'description': 'Yellow car parked on the opposite side of the street', 'position': 'upper-left-center of scene', 'orientation': 'parallel to curb'}, {'id': 'obj_5', 'class': 'car', 'description': 'Dark-colored car parked further along the opposite side of the street', 'position': 'left side behind yellow car', 'orientation': 'parallel to curb'}, {'id': 'obj_6', 'class': 'traffic_sign', 'description': 'No-parking or restriction sign on a pole by the curb near the crosswalk', 'position': 'right-center edge of scene near curb', 'orientation': 'facing toward oncoming traffic'}, {'id': 'obj_7', 'class': 'vegetation_debris', 'description': 'Fallen small tree or large bush with branches and leaves lying on the sidewalk near the curb', 'position': 'lower-left to mid-center foreground along sidewalk edge', 'orientation': 'branches extending along the sidewalk length'}, {'id': 'obj_8', 'class': 'trash_container', 'description': 'White plastic container or bin lying on its side among the vegetation debris', 'position': 'just left of image center near curb, on sidewalk', 'orientation': 'tipped over on its side'}, {'id': 'obj_9', 'class': 'debris', 'description': 'Additional cut branches, leaves, and possibly other yard waste piled along curb on sidewalk', 'position': 'mid-right along curb line', 'orientation': 'elongated pile parallel to curb'}]</t>
  </si>
  <si>
    <t>[{'id': 'obj_1', 'class': 'sidewalk', 'description': 'Paved brick sidewalk covering most of the frame', 'position': 'extends from foreground bottom to background top, spanning full width', 'orientation': 'aligned roughly vertically along image axis'}, {'id': 'obj_2', 'class': 'puddle', 'description': 'Large water puddle on the sidewalk reflecting a pole and surroundings', 'position': 'slightly above center of the image, midline horizontally', 'orientation': 'irregular shape'}, {'id': 'obj_3', 'class': 'vehicle', 'description': 'Parked car partly visible at upper right edge near pole', 'position': 'top-right edge of frame', 'orientation': 'parked parallel to sidewalk'}, {'id': 'obj_4', 'class': 'pole', 'description': 'Vertical pole with a black band near the middle, at sidewalk edge close to parked car', 'position': 'upper center-right of image near curb', 'orientation': 'vertical'}, {'id': 'obj_5', 'class': 'fence', 'description': 'Low fence or railing with vegetation behind it along left edge of sidewalk', 'position': 'left side of image running from mid to top', 'orientation': 'parallel to sidewalk'}]</t>
  </si>
  <si>
    <t>[{'id': 'obj_1', 'class': 'sidewalk', 'description': 'Paved brick sidewalk occupying most of the frame, running from bottom foreground to upper background.', 'position': 'center of scene, longitudinally aligned with camera view', 'orientation': 'extends from bottom center toward top center'}, {'id': 'obj_2', 'class': 'roadway', 'description': 'Asphalt street with painted white edge/parking lines adjacent to the sidewalk on the left.', 'position': 'left side of scene next to sidewalk', 'orientation': 'parallel to sidewalk, extending from lower left toward upper left'}, {'id': 'obj_3', 'class': 'car', 'description': 'Dark-colored parked car near top left, facing away from the camera, adjacent to the curb.', 'position': 'upper left, next to curb on roadway', 'orientation': 'aligned with roadway, facing away from viewer'}, {'id': 'obj_4', 'class': 'bollard', 'description': 'Rectangular concrete or stone bollard along the sidewalk edge, likely to separate sidewalk from roadway or protect infrastructure.', 'position': 'right side of the sidewalk near mid-to-upper right of the frame', 'orientation': 'vertical pillar'}, {'id': 'obj_5', 'class': 'pedestrian', 'description': 'Person standing or walking further up the sidewalk near a tree and parked car, partially visible.', 'position': 'upper center of frame on sidewalk', 'orientation': 'facing roughly toward the right side of the image'}, {'id': 'obj_6', 'class': 'curb', 'description': 'Raised curb with red-and-white painted edge separating sidewalk from street.', 'position': 'left edge of sidewalk, running from lower left toward upper left', 'orientation': 'parallel to sidewalk'}]</t>
  </si>
  <si>
    <t>[{'id': 'obj_1', 'class': 'sidewalk', 'description': 'Wide pedestrian walkway extending from foreground to background, split into asphalt on the left and paving blocks on the right.', 'position': 'dominates center from bottom to top of image', 'orientation': 'aligned roughly vertical in image, leading away from camera'}, {'id': 'obj_2', 'class': 'car', 'description': 'Several cars parked side-by-side across the end of the walkway near the top center of the image, facing the camera with tail lights or reflectors visible.', 'position': 'top-center background, blocking continuation of path', 'orientation': 'rear facing toward camera, parked perpendicular to path'}, {'id': 'obj_3', 'class': 'barrier', 'description': 'Low dark barrier or fence in front of the line of parked cars at the end of the walkway.', 'position': 'just in front of cars at top-center background', 'orientation': 'horizontal across the path'}, {'id': 'obj_4', 'class': 'vegetation', 'description': 'Trees, shrubs, and ornamental plants lining both sides of the walkway.', 'position': 'left and right sides of walkway from foreground to background', 'orientation': 'fixed landscaping'}, {'id': 'obj_5', 'class': 'street_lighting', 'description': 'Street lights illuminating the area from the left side.', 'position': 'upper-left edge of scene', 'orientation': 'lamps facing downward onto walkway and adjacent road'}, {'id': 'obj_6', 'class': 'roadway', 'description': 'Motor vehicle lane partially visible to the left of the walkway, parallel to it.', 'position': 'left side of image extending into background', 'orientation': 'parallel to walkway'}]</t>
  </si>
  <si>
    <t>[{'id': 'obj_1', 'class': 'pedestrian_path', 'description': 'Paved pedestrian walkway with asphalt on the left and brick path on the right extending from foreground to mid-background', 'position': 'center foreground to mid-scene', 'orientation': 'aligned roughly bottom-to-top of image'}, {'id': 'obj_2', 'class': 'road', 'description': 'Illuminated roadway running horizontally behind the end of the pedestrian path', 'position': 'upper part of scene behind barriers', 'orientation': 'left-right across image'}, {'id': 'obj_3', 'class': 'barrier', 'description': 'Metal crowd-control or traffic barriers blocking access between walkway and road', 'position': 'upper-center of scene across path end', 'orientation': 'horizontal line across path'}, {'id': 'obj_4', 'class': 'sign', 'description': 'Roundabout traffic sign on a post near the road', 'position': 'left-background near road edge', 'orientation': 'facing oncoming road traffic'}, {'id': 'obj_5', 'class': 'streetlight', 'description': 'Tall streetlight illuminating the area', 'position': 'right-background near vegetation', 'orientation': 'vertical pole'}, {'id': 'obj_6', 'class': 'tree', 'description': 'Medium tree with trunk and branches overhanging path', 'position': 'left side of path, mid-foreground', 'orientation': 'vertical trunk with canopy extending over path'}, {'id': 'obj_7', 'class': 'vegetation', 'description': 'Bushes and low plants along right side of path and in median near tree', 'position': 'right side and left island beside path', 'orientation': 'linear along curb'}, {'id': 'obj_8', 'class': 'debris', 'description': 'Scattered dry leaves and small debris on the walkway surface', 'position': 'spread across foreground and mid-path', 'orientation': 'n/a'}, {'id': 'obj_9', 'class': 'pavement_crack', 'description': 'Visible cracks in asphalt portion of the pedestrian path', 'position': 'left side of path in foreground', 'orientation': 'irregular lines along path'}]</t>
  </si>
  <si>
    <t>[{'id': 'obj_1', 'class': 'sidewalk', 'description': 'Wide paved brick sidewalk running from foreground to background', 'position': 'center of image extending from bottom edge to horizon', 'orientation': 'aligned roughly front-to-back along the image depth'}, {'id': 'obj_2', 'class': 'road', 'description': 'Vehicle roadway with moving traffic lights/blur, parallel to the sidewalk', 'position': 'left side of image behind vegetation', 'orientation': 'parallel to sidewalk, extending into background'}, {'id': 'obj_3', 'class': 'trees', 'description': 'Row of mature trees lining both sides of the sidewalk', 'position': 'left and right edges of the sidewalk, extending into background', 'orientation': 'vertical trunks with canopy overhanging sidewalk'}, {'id': 'obj_4', 'class': 'street_lighting', 'description': 'Streetlights illuminating the sidewalk and road', 'position': 'upper center and along background of the sidewalk and road', 'orientation': 'vertical poles with lamps pointing downward'}, {'id': 'obj_5', 'class': 'vegetation', 'description': 'Low shrubs and plants in beds between road and sidewalk and to the right of the path', 'position': 'left and right edges of sidewalk, primarily lower half of image', 'orientation': 'ground-level landscaping'}, {'id': 'obj_6', 'class': 'guardrail', 'description': 'Metal pedestrian/roadside railings separating sidewalk from road', 'position': 'left-middle of image between road and sidewalk, extending into distance', 'orientation': 'horizontal rails parallel to road'}, {'id': 'obj_7', 'class': 'building', 'description': 'Illuminated building or structure with lights along facade', 'position': 'right background of image beyond trees and vegetation', 'orientation': 'aligned roughly parallel to sidewalk'}]</t>
  </si>
  <si>
    <t>[{'id': 'obj_1', 'class': 'pedestrian', 'description': 'Single person in dark clothing walking away from the camera on the zebra crosswalk toward the intersection.', 'position': 'center of image, on crosswalk spanning from foreground sidewalk toward left side roadway', 'orientation': 'back to camera, moving slightly leftward up the incline'}, {'id': 'obj_2', 'class': 'car', 'description': 'Dark car stopped or moving slowly near the intersection, aligned with other traffic and facing away from the camera.', 'position': 'left-middle of image, just beyond the crosswalk on the main road', 'orientation': 'facing away from camera along road direction'}, {'id': 'obj_3', 'class': 'cars', 'description': 'Line of vehicles in traffic queue on the main road under streetlights.', 'position': 'left background of image, along the road extending into distance', 'orientation': 'aligned along the roadway, facing away from camera'}, {'id': 'obj_4', 'class': 'motorcycle_or_scooter', 'description': 'Two-wheeled vehicle near parked or slow cars at intersection.', 'position': 'left middle, adjacent to first dark car', 'orientation': 'roughly parallel to main road'}, {'id': 'obj_5', 'class': 'roadway', 'description': 'Paved urban road with painted crosswalk and curb with red-white markings.', 'position': 'left and upper-middle portions of image', 'orientation': 'road runs roughly lower-right to upper-left'}, {'id': 'obj_6', 'class': 'sidewalk', 'description': 'Brick-paved pedestrian area leading into the crosswalk.', 'position': 'foreground and lower half of image', 'orientation': 'flat surface leading toward intersection'}, {'id': 'obj_7', 'class': 'streetlights', 'description': 'Tall lampposts illuminating the road and sidewalk.', 'position': 'left and right upper portions of image', 'orientation': 'vertical poles'}, {'id': 'obj_8', 'class': 'traffic_sign', 'description': 'Yield sign at the intersection.', 'position': 'upper-center, just beyond pedestrian', 'orientation': 'facing approaching side-street vehicles'}]</t>
  </si>
  <si>
    <t>[{'id': 'obj_1', 'class': 'pedestrian', 'description': 'Person with dark clothing and red shoulder bag walking on left side of crosswalk toward camera', 'position': 'lower-left/center foreground on crosswalk', 'orientation': 'facing toward camera, moving forward'}, {'id': 'obj_2', 'class': 'pedestrian', 'description': 'Person in light-colored jacket walking on right side of crosswalk toward camera, holding something near face (possibly phone)', 'position': 'lower-right/center foreground on crosswalk', 'orientation': 'facing toward camera, moving forward'}, {'id': 'obj_3', 'class': 'car', 'description': 'Black car stopped at front of queue in nearest lane at intersection', 'position': 'mid-right of image at edge of crosswalk', 'orientation': 'facing left relative to image frame'}, {'id': 'obj_4', 'class': 'car', 'description': 'Multiple cars in traffic queue behind main black car and in adjacent lanes', 'position': 'background, mostly center-right', 'orientation': 'aligned with roadway'}, {'id': 'obj_5', 'class': 'traffic_light', 'description': 'Pedestrian signal showing green walk symbol above crosswalk', 'position': 'upper-left above crosswalk', 'orientation': 'facing pedestrians'}, {'id': 'obj_6', 'class': 'traffic_light', 'description': 'Vehicle traffic lights showing red for cars facing the intersection', 'position': 'upper-center and upper-right near roadway', 'orientation': 'facing vehicles'}, {'id': 'obj_7', 'class': 'crosswalk', 'description': 'Wide zebra pedestrian crossing spanning the roadway in foreground', 'position': 'dominant foreground across width of image', 'orientation': 'perpendicular to direction of vehicle travel'}, {'id': 'obj_8', 'class': 'street_infrastructure', 'description': 'Streetlights, poles, sidewalks, and adjacent buildings and vegetation', 'position': 'background across image', 'orientation': 'fixed infrastructure'}]</t>
  </si>
  <si>
    <t>[{'id': 'obj_1', 'class': 'sidewalk_path', 'description': 'Central paved path extending into the distance, possibly for pedestrians or cyclists', 'position': 'center foreground to center background', 'orientation': 'aligned with image depth, leading away from camera'}, {'id': 'obj_2', 'class': 'sidewalk_paved_tiles', 'description': 'Brick-tiled pedestrian sidewalk running parallel to main path', 'position': 'right side of image from foreground to background', 'orientation': 'parallel to central path'}, {'id': 'obj_3', 'class': 'parked_vans_cars', 'description': 'Row of parked vans and cars along curbside beside trees', 'position': 'left side from foreground to background', 'orientation': 'parked parallel to path, facing away from camera'}, {'id': 'obj_4', 'class': 'trees', 'description': 'Street trees and vegetation lining both sides of the path', 'position': 'both sides, mostly mid to background', 'orientation': 'upright, along curbs and landscaped strips'}, {'id': 'obj_5', 'class': 'bushes_shrubs', 'description': 'Trimmed hedges and landscaped shrubs along right side', 'position': 'right midground and background', 'orientation': 'bordering tiled sidewalk'}, {'id': 'obj_6', 'class': 'street_lights', 'description': 'Illuminated streetlights lighting the area', 'position': 'upper left and upper center', 'orientation': 'posts vertical along roadway'}, {'id': 'obj_7', 'class': 'traffic_lights', 'description': 'Green traffic light visible in the distance', 'position': 'center background', 'orientation': 'facing along adjacent roadway'}, {'id': 'obj_8', 'class': 'stain_on_pavement', 'description': 'Dark wet-looking stain or patch on pavement', 'position': 'lower center foreground of central path', 'orientation': 'flat on ground'}]</t>
  </si>
  <si>
    <t>[{'id': 'obj_1', 'class': 'paved_surface', 'description': 'Main gray asphalt surface with several long, irregular cracks running roughly vertically through the frame', 'position': 'center covering most of the image', 'orientation': 'cracks oriented roughly from bottom toward top of frame'}, {'id': 'obj_2', 'class': 'paved_edge', 'description': 'Border of differently paved or brick surface with a reddish strip along the right side', 'position': 'right edge of image', 'orientation': 'runs roughly from bottom-right toward top-right'}]</t>
  </si>
  <si>
    <t>[{'id': 'obj_1', 'class': 'sidewalk', 'description': 'Paved brick sidewalk running along the left side of the image', 'position': 'left side of scene, parallel to roadway', 'orientation': 'extends from bottom left foreground to mid-left background'}, {'id': 'obj_2', 'class': 'road', 'description': 'Two-way residential street with parking along the right side and some markings near curb', 'position': 'center to right of scene', 'orientation': 'extends from bottom center foreground to upper center background'}, {'id': 'obj_3', 'class': 'car', 'description': 'Silver car parked at curb adjacent to sidewalk, facing away from camera', 'position': 'center of image, next to sidewalk', 'orientation': 'rear facing camera, aligned with road direction'}, {'id': 'obj_4', 'class': 'car', 'description': 'White car parked on right side of street facing away', 'position': 'mid-right background along curb', 'orientation': 'rear facing camera'}, {'id': 'obj_5', 'class': 'car', 'description': 'Another white car parked further along right side of street', 'position': 'upper right background along curb', 'orientation': 'rear facing camera'}, {'id': 'obj_6', 'class': 'cardboard_boxes', 'description': 'Large pile of flattened and open cardboard boxes and packaging placed on curb area beside parked car, protruding over sidewalk and partly into road markings', 'position': 'lower center foreground near curb between sidewalk and road', 'orientation': 'stacked loosely, extending laterally across curb line'}, {'id': 'obj_7', 'class': 'residential_buildings', 'description': 'Multi-story apartment buildings lining both sides of the street', 'position': 'mid to upper right and background of scene', 'orientation': 'front facades facing the street'}, {'id': 'obj_8', 'class': 'vegetation', 'description': 'Bushes and trees along left side and background', 'position': 'left and upper portions of scene', 'orientation': 'bordering sidewalk and street'}, {'id': 'obj_9', 'class': 'street_light', 'description': 'Illuminated streetlights along the road', 'position': 'background near center-left and further along street', 'orientation': 'upright along sidewalk and curb'}]</t>
  </si>
  <si>
    <t>[{'id': 'obj_1', 'class': 'sidewalk', 'description': 'Paved brick sidewalk running from foreground to background through center of image', 'position': 'central foreground to center background', 'orientation': 'aligned along image depth'}, {'id': 'obj_2', 'class': 'tree', 'description': 'Row of mature trees embedded in small soil pits on left edge of sidewalk', 'position': 'left side of sidewalk from foreground to mid-distance', 'orientation': 'vertical trunks'}, {'id': 'obj_3', 'class': 'car', 'description': 'Line of parked cars along the curb on the street side of sidewalk', 'position': 'left edge of image, adjacent to sidewalk', 'orientation': 'parallel to roadway facing away from camera'}, {'id': 'obj_4', 'class': 'pedestrian', 'description': 'Single person walking away from the camera along the sidewalk', 'position': 'center-right mid-background on sidewalk', 'orientation': 'back facing camera, moving away'}, {'id': 'obj_5', 'class': 'roadway', 'description': 'Vehicle lane with traffic and headlights visible beyond parked cars', 'position': 'left mid- to far-background', 'orientation': 'parallel to sidewalk'}, {'id': 'obj_6', 'class': 'building_wall', 'description': 'High concrete wall with fencing and vegetation on the right side of the sidewalk', 'position': 'right side from foreground to background', 'orientation': 'parallel to sidewalk'}, {'id': 'obj_7', 'class': 'street_lighting', 'description': 'Streetlights visible further down the road providing illumination', 'position': 'upper-left background', 'orientation': 'vertical poles'}]</t>
  </si>
  <si>
    <t>[{'id': 'anom_1', 'related_objects': ['obj_1', 'obj_7', 'obj_8'], 'type': 'sidewalk_obstruction', 'description': 'Piles of cut vegetation and a tipped-over container obstruct a significant portion of the sidewalk and encroach toward the curb near a crosswalk.', 'risk_score_1_to_10': 6, 'risk_target': ['pedestrians'], 'region': {'x_center_norm': 0.33, 'y_center_norm': 0.63, 'width_norm': 0.53, 'height_norm': 0.46}, 'reasoning': 'The debris pile and container occupy space where pedestrians would normally walk, especially critical near a crosswalk where foot traffic is expected. At night, visibility is reduced, increasing trip-and-fall risk and forcing pedestrians, including those with mobility impairments or strollers, to step closer to or into the roadway.'}]</t>
  </si>
  <si>
    <t>[{'id': 'anom_1', 'related_objects': ['obj_1', 'obj_6', 'obj_7'], 'type': 'sidewalk_obstruction', 'description': 'Uprooted plants, soil, and a fallen container obstruct a significant portion of the sidewalk next to the road.', 'risk_score_1_to_10': 6, 'risk_target': ['pedestrians'], 'region': {'x_center_norm': 0.30000000000000004, 'y_center_norm': 0.6000000000000001, 'width_norm': 0.45, 'height_norm': 0.45}, 'reasoning': 'The debris and container lie directly on the pedestrian path, forcing pedestrians to step around them, possibly into the street in low-light conditions. This creates a tripping hazard and could lead to pedestrians entering the vehicle lane near a crosswalk.'}]</t>
  </si>
  <si>
    <t>[{'id': 'anom_1', 'related_objects': ['obj_1', 'obj_2'], 'type': 'sidewalk_obstruction', 'description': 'Large open cardboard box with long packaging materials is placed on the sidewalk, partially blocking the pedestrian path and creating a trip hazard, especially at night.', 'risk_score_1_to_10': 5, 'risk_target': ['pedestrians'], 'region': {'x_center_norm': 0.34, 'y_center_norm': 0.54, 'width_norm': 0.32, 'height_norm': 0.42}, 'reasoning': 'The box occupies a notable portion of the walking area, forcing pedestrians to deviate toward the edge near the low wall. In low light, people may not anticipate bulky obstacles, increasing the likelihood of impacts or trips, but vehicles are not directly affected so the risk is moderate rather than extreme.'}]</t>
  </si>
  <si>
    <t>[{'id': 'anom_1', 'related_objects': ['obj_2', 'obj_1'], 'type': 'sidewalk_obstruction', 'description': 'Large cardboard boxes are placed on the sidewalk in a way that significantly narrows or blocks the pedestrian path.', 'risk_score_1_to_10': 5, 'risk_target': ['pedestrians'], 'region': {'x_center_norm': 0.74, 'y_center_norm': 0.49, 'width_norm': 0.33, 'height_norm': 0.42}, 'reasoning': 'The boxes occupy much of the usable sidewalk width adjacent to the hedge, forcing pedestrians to squeeze past near the curb or step closer to the street. This creates tripping and collision risks, particularly at night or for people with limited mobility or visibility. While not immediately life-threatening, it represents a moderate safety hazard in an urban pedestrian zone.'}]</t>
  </si>
  <si>
    <t>[]</t>
  </si>
  <si>
    <t>[{'id': 'anom_1', 'related_objects': ['obj_2', 'obj_3', 'obj_1'], 'type': 'sidewalk_obstruction', 'description': 'Large cardboard boxes are obstructing a substantial portion of the sidewalk, narrowing the passage for pedestrians.', 'risk_score_1_to_10': 5, 'risk_target': ['pedestrians'], 'region': {'x_center_norm': 0.72, 'y_center_norm': 0.54, 'width_norm': 0.35000000000000003, 'height_norm': 0.55}, 'reasoning': 'The boxes are placed directly on the paved walkway, intruding into the normal pedestrian path. At night, visibility is reduced, increasing the chance of tripping or having to step closer to the curb or street to pass, especially for people with mobility issues or reduced vision. While not immediately life-threatening, this presents a moderate, persistent hazard.'}]</t>
  </si>
  <si>
    <t>[{'id': 'anom_1', 'related_objects': ['obj_2', 'obj_1', 'obj_4'], 'type': 'sidewalk_obstruction', 'description': 'Large cardboard box with contents is left on the sidewalk edge, protruding into the pedestrian path and partially narrowing the walkway.', 'risk_score_1_to_10': 4, 'risk_target': ['pedestrians'], 'region': {'x_center_norm': 0.53, 'y_center_norm': 0.53, 'width_norm': 0.35000000000000003, 'height_norm': 0.43}, 'reasoning': 'The box occupies part of the available sidewalk width and juts out near ankle/knee height where pedestrians walk, creating a tripping or collision hazard, especially at night when visibility is reduced. However, some clear space remains on the left, so the risk is mild to moderate rather than severe.'}, {'id': 'anom_2', 'related_objects': ['obj_3', 'obj_14', 'obj_11'], 'type': 'improper_waste_placement', 'description': 'Cardboard and plastic packaging waste is scattered and left in the open area beside the sidewalk rather than in proper bins, posing litter and minor environmental hazards.', 'risk_score_1_to_10': 2, 'risk_target': ['pedestrians', 'general_civilians'], 'region': {'x_center_norm': 0.76, 'y_center_norm': 0.47000000000000003, 'width_norm': 0.33, 'height_norm': 0.36}, 'reasoning': 'The presence of loose packaging can contribute to urban litter, attract pests, or be blown onto the sidewalk or street, but it does not immediately threaten physical safety; thus it represents a low-level environmental and cleanliness concern.'}]</t>
  </si>
  <si>
    <t>[{'id': 'anom_1', 'related_objects': ['obj_2', 'obj_3'], 'type': 'sidewalk_obstruction', 'description': 'Large cardboard box and leaning panel stored on the sidewalk, narrowing the pedestrian path and creating a potential trip and collision hazard, especially at night.', 'risk_score_1_to_10': 5, 'risk_target': ['pedestrians'], 'region': {'x_center_norm': 0.78, 'y_center_norm': 0.56, 'width_norm': 0.33, 'height_norm': 0.45}, 'reasoning': 'The box and large leaning object extend into the walking area, reducing the effective width of the sidewalk. In low-light conditions, pedestrians, particularly those with visual impairments or moving quickly, could collide with or trip over these items. This is moderately risky but not immediately life-threatening.'}]</t>
  </si>
  <si>
    <t>[{'id': 'anom_1', 'related_objects': ['obj_1', 'obj_7', 'obj_8'], 'type': 'sidewalk_obstruction', 'description': 'A large pile of cut vegetation and a tipped plastic container obstruct a significant portion of the sidewalk, forcing pedestrians toward the curb or road.', 'risk_score_1_to_10': 6, 'risk_target': ['pedestrians'], 'region': {'x_center_norm': 0.4, 'y_center_norm': 0.65, 'width_norm': 0.55, 'height_norm': 0.45}, 'reasoning': 'The debris and container lie directly in the pedestrian path on a night-lit urban sidewalk. People, especially those with mobility impairments or low visibility, may trip on branches or the container or be forced to step closer to the curb and potential traffic, creating a moderate safety risk.'}]</t>
  </si>
  <si>
    <t>[{'id': 'anom_1', 'related_objects': ['obj_7', 'obj_8'], 'type': 'roadway debris at pedestrian crossing', 'description': 'Loose cloth and small metallic objects lying directly in the vehicle path near a marked crosswalk.', 'risk_score_1_to_10': 5, 'risk_target': ['drivers', 'pedestrians', 'cyclists'], 'region': {'x_center_norm': 0.52, 'y_center_norm': 0.63, 'width_norm': 0.25, 'height_norm': 0.2}, 'reasoning': 'The cloth and potential metal hardware create an unexpected obstacle in the travel lane at a pedestrian crossing. Drivers may swerve or brake suddenly to avoid it, and cyclists or scooters could lose control if they run over the small objects. While speeds on this residential street are likely low, the placement at the crosswalk increases collision risk for both vehicles and pedestrians.'}]</t>
  </si>
  <si>
    <t>[{'id': 'anom_1', 'related_objects': ['obj_2', 'obj_3', 'obj_1'], 'type': 'sidewalk_obstruction', 'description': 'Large cardboard boxes are left standing and leaning on the sidewalk, significantly narrowing the pedestrian passage and creating a trip and collision hazard, especially at night.', 'risk_score_1_to_10': 5, 'risk_target': ['pedestrians'], 'region': {'x_center_norm': 0.72, 'y_center_norm': 0.52, 'width_norm': 0.32, 'height_norm': 0.46}, 'reasoning': 'The boxes occupy a notable portion of the walkway at pedestrian height and ground level. In low light, they may not be clearly visible, forcing people to detour closer to the curb or street and increasing the chance of tripping, bumping into them, or stepping off the sidewalk. This is a moderate but not extreme risk as pedestrians can likely still pass with care.'}]</t>
  </si>
  <si>
    <t>[{'id': 'anom_1', 'related_objects': ['obj_1', 'obj_2'], 'type': 'vehicle_obstructing_sidewalk', 'description': 'Car is parked such that a significant portion of its rear blocks the sidewalk, forcing pedestrians to squeeze by the wall or step into the street.', 'risk_score_1_to_10': 6, 'risk_target': ['pedestrians'], 'region': {'x_center_norm': 0.24, 'y_center_norm': 0.52, 'width_norm': 0.38, 'height_norm': 0.56}, 'reasoning': 'In an urban pedestrian zone, sidewalks are expected to be clear. The sedan occupies much of the sidewalk width near the curb, leaving reduced clearance especially near the wall and vegetation. At night, visibility is lower and pedestrians, including those with strollers, wheelchairs, or limited mobility, may have to step off the curb into the roadway, increasing collision risk. The risk is moderate rather than extreme because traffic volume appears low and there is some remaining passage space.'}]</t>
  </si>
  <si>
    <t>[{'id': 'anom_1', 'related_objects': ['obj_1', 'obj_4'], 'type': 'degraded_surface_cracking', 'description': 'Significant longitudinal and branching cracks on a pedestrian or low-traffic asphalt surface, creating uneven gaps that could catch shoes or wheels.', 'risk_score_1_to_10': 4, 'risk_target': ['pedestrians', 'cyclists', 'scooter_riders'], 'region': {'x_center_norm': 0.5, 'y_center_norm': 0.6000000000000001, 'width_norm': 0.7000000000000001, 'height_norm': 0.8}, 'reasoning': 'The cracks are long and continuous along the walking line, suggesting tripping risk for pedestrians and instability for small wheels, especially at night. However, they do not appear to form large holes or major height differences, so injury risk is moderate rather than severe.'}, {'id': 'anom_2', 'related_objects': ['obj_1', 'obj_5'], 'type': 'localized_wet_or_slippery_spot', 'description': 'Darkened area likely from water or another liquid on the walking surface, which may reduce friction.', 'risk_score_1_to_10': 3, 'risk_target': ['pedestrians', 'cyclists', 'scooter_riders'], 'region': {'x_center_norm': 0.7000000000000001, 'y_center_norm': 0.35000000000000003, 'width_norm': 0.2, 'height_norm': 0.15}, 'reasoning': 'The patch is limited in area but could be slippery, particularly when combined with cracks and low-light conditions. Risk is mild because the area is small and likely avoidable.'}]</t>
  </si>
  <si>
    <t>[{'id': 'anom_1', 'related_objects': ['obj_1', 'obj_2', 'obj_3'], 'type': 'obstructed_sidewalk', 'description': 'Large bush significantly narrows and partially blocks the sidewalk, forcing pedestrians to deviate close to the curb or wall.', 'risk_score_1_to_10': 5, 'risk_target': ['pedestrians'], 'region': {'x_center_norm': 0.55, 'y_center_norm': 0.55, 'width_norm': 0.4, 'height_norm': 0.5}, 'reasoning': 'The shrub extends across much of the usable sidewalk width, leaving limited clear passage, especially problematic at night. This can cause collisions, trips, or force pedestrians including wheelchair users or people with strollers closer to the roadway edge. The low wall on the right and parked cars on the left reduce bypass options, making it a moderate but not extreme hazard.'}, {'id': 'anom_2', 'related_objects': ['obj_1', 'obj_2'], 'type': 'reduced_nighttime_visibility', 'description': 'Dense vegetation creates deep shadows on the sidewalk surface at night, reducing visibility of edges and obstacles.', 'risk_score_1_to_10': 4, 'risk_target': ['pedestrians'], 'region': {'x_center_norm': 0.5, 'y_center_norm': 0.7000000000000001, 'width_norm': 0.5, 'height_norm': 0.6000000000000001}, 'reasoning': 'The combination of nighttime lighting and the large bush casts strong shadows on the walking surface, making it harder to detect trip hazards or exact sidewalk boundary. This is mild to moderate risk, especially for elderly or visually impaired pedestrians, but not immediately life-threatening.'}]</t>
  </si>
  <si>
    <t>[{'id': 'anom_1', 'related_objects': ['obj_1', 'obj_2'], 'type': 'trip_hazard_on_path', 'description': 'A raised transverse asphalt ridge creates a sudden step across the full width of the path, posing a trip hazard for pedestrians and a serious risk for cyclists or scooter users, especially at night.', 'risk_score_1_to_10': 7, 'risk_target': ['pedestrians', 'cyclists'], 'region': {'x_center_norm': 0.5, 'y_center_norm': 0.30000000000000004, 'width_norm': 0.9, 'height_norm': 0.09}, 'reasoning': 'The path surface shows a clearly elevated seam that appears several centimeters higher than the adjacent asphalt, with a sharp edge and no marking or ramping. It spans the entire width of the path, leaving no easy way around. In a low-light nighttime context, this can easily be missed, causing pedestrians to trip and cyclists or scooter users to lose control.'}, {'id': 'anom_2', 'related_objects': ['obj_1', 'obj_3'], 'type': 'deteriorated_surface_cracking', 'description': 'Multiple longitudinal cracks along the path indicate surface deterioration, which can catch wheels or worsen over time.', 'risk_score_1_to_10': 3, 'risk_target': ['pedestrians', 'cyclists'], 'region': {'x_center_norm': 0.52, 'y_center_norm': 0.55, 'width_norm': 0.30000000000000004, 'height_norm': 0.8}, 'reasoning': 'The cracks are visible along the path surface but appear relatively narrow, suggesting only mild immediate hazard. For pedestrians they pose a low trip risk; for narrow wheels (bicycles, scooters, wheelchairs) they may cause mild instability, though less critical than the raised ridge.'}]</t>
  </si>
  <si>
    <t>[{'id': 'anom_1', 'related_objects': ['obj_1'], 'type': 'damaged_pavement_cracks', 'description': 'Multiple long, branching cracks in the asphalt surface that could cause trips for pedestrians and may worsen with time.', 'risk_score_1_to_10': 4, 'risk_target': ['pedestrians'], 'region': {'x_center_norm': 0.45, 'y_center_norm': 0.55, 'width_norm': 0.6000000000000001, 'height_norm': 0.9}, 'reasoning': 'The cracks are clearly visible and irregular, spanning much of the walking surface. While not appearing as large holes, they can catch heels or mobility aids, especially under low night lighting, leading to potential trips and minor falls.'}]</t>
  </si>
  <si>
    <t>[{'id': 'anom_1', 'related_objects': ['obj_1', 'obj_10'], 'type': 'slippery_sidewalk_section', 'description': 'A wet or slick patch on the sidewalk could reduce traction for pedestrians, especially at night.', 'risk_score_1_to_10': 3, 'risk_target': ['pedestrians'], 'region': {'x_center_norm': 0.63, 'y_center_norm': 0.63, 'width_norm': 0.22, 'height_norm': 0.18}, 'reasoning': 'The reflective irregular area on the right side of the sidewalk suggests water or another liquid on the walking surface. While the sidewalk is wide and unobstructed, a person not paying attention in low light could slip, giving it a mild but non-negligible risk.'}]</t>
  </si>
  <si>
    <t>[{'id': 'anom_1', 'related_objects': ['obj_1', 'obj_5'], 'type': 'uneven_sidewalk_surface', 'description': 'Section of sidewalk with noticeable surface irregularity or damage near the curb that could cause trips.', 'risk_score_1_to_10': 4, 'risk_target': ['pedestrians'], 'region': {'x_center_norm': 0.75, 'y_center_norm': 0.62, 'width_norm': 0.18, 'height_norm': 0.16}, 'reasoning': 'The right-hand area of the sidewalk shows a visibly deformed edge where the paving bricks meet the curb, suggesting a height difference or broken surface. At night, this may be harder to see and could trip pedestrians, especially those not watching the ground or with mobility impairments. However, it is localized and not blocking the entire path, so risk is moderate to mild.'}]</t>
  </si>
  <si>
    <t>[{'id': 'anom_1', 'related_objects': ['obj_1', 'obj_2'], 'type': 'trip_hazard_on_sidewalk', 'description': 'A raised transverse asphalt joint creates an abrupt step across the sidewalk, combined with surface cracks, posing a trip hazard especially in low light.', 'risk_score_1_to_10': 6, 'risk_target': ['pedestrians', 'cyclists'], 'region': {'x_center_norm': 0.5, 'y_center_norm': 0.42, 'width_norm': 0.9, 'height_norm': 0.12}, 'reasoning': 'The step appears several centimeters high and runs fully across the walking path, with no ramping or high-visibility marking. At night, pedestrians, runners, or cyclists using the path could fail to notice it and trip or fall. The rest of the surface shows cracks but they are less severe than the raised edge itself.'}]</t>
  </si>
  <si>
    <t>[{'id': 'anom_1', 'related_objects': ['obj_3'], 'type': 'obstruction_on_sidewalk', 'description': 'A mature tree trunk is placed within the middle of the sidewalk path, partially obstructing pedestrian flow and narrowing the walkway.', 'risk_score_1_to_10': 4, 'risk_target': ['pedestrians'], 'region': {'x_center_norm': 0.33, 'y_center_norm': 0.48, 'width_norm': 0.1, 'height_norm': 0.35000000000000003}, 'reasoning': 'The tree trunk occupies a significant portion of the walking path, forcing pedestrians to divert around it. At night, despite some street lighting, this can be a tripping or collision hazard, particularly for people with low vision or mobility issues, and reduces accessible clear width.'}]</t>
  </si>
  <si>
    <t>[{'id': 'anom_1', 'related_objects': ['obj_1'], 'type': 'roadway_obstruction', 'description': 'Large pile of cut branches placed partly on the road adjacent to the curb, narrowing the lane and creating a potential obstacle for vehicles and cyclists at dusk.', 'risk_score_1_to_10': 6, 'risk_target': ['drivers', 'cyclists', 'pedestrians'], 'region': {'x_center_norm': 0.48, 'y_center_norm': 0.7000000000000001, 'width_norm': 0.8, 'height_norm': 0.4}, 'reasoning': 'The vegetation debris extends from the curb into the travel lane on a relatively narrow residential street with parked cars on both sides, leaving limited maneuvering space. At dusk, visibility is reduced, increasing the chance that a driver or cyclist may not notice the dark, low-lying obstruction in time. Pedestrians crossing near the pile may also need to step further into the lane to go around it.'}]</t>
  </si>
  <si>
    <t>[{'id': 'anom_1', 'related_objects': ['obj_1', 'obj_2'], 'type': 'water_puddle_on_pedestrian_path', 'description': 'A sizeable water puddle occupies a significant portion of the sidewalk, creating a potential slip hazard and forcing pedestrians to detour, especially risky at night when visibility is lower.', 'risk_score_1_to_10': 4, 'risk_target': ['pedestrians'], 'region': {'x_center_norm': 0.52, 'y_center_norm': 0.38, 'width_norm': 0.42, 'height_norm': 0.2}, 'reasoning': 'The puddle is directly in the walking path, taking up much of the available width. At night, reflections can make the depth or extent hard to perceive, increasing the chance of slips or stepping into unexpectedly deep water. However, there appears to be some space around it to bypass, so risk is mild to moderate rather than severe.'}]</t>
  </si>
  <si>
    <t>[{'id': 'anom_1', 'related_objects': ['obj_1', 'obj_4'], 'type': 'sidewalk_obstruction', 'description': 'Large pile of debris and bulky items fully obstructing the sidewalk, forcing pedestrians to detour or step into the roadway.', 'risk_score_1_to_10': 7, 'risk_target': ['pedestrians'], 'region': {'x_center_norm': 0.55, 'y_center_norm': 0.52, 'width_norm': 0.45, 'height_norm': 0.35000000000000003}, 'reasoning': 'The debris occupies the entire walking width of the sidewalk ahead. At night, visibility is lower and the obstruction is not clearly marked, increasing trip-and-fall risk and potentially forcing pedestrians, including children or people with mobility issues, to move into the adjacent area near cars/roadway.'}, {'id': 'anom_2', 'related_objects': ['obj_1', 'obj_2'], 'type': 'reduced_pedestrian_space', 'description': 'Car parked very close to or partially on the sidewalk edge, further narrowing pedestrian passage.', 'risk_score_1_to_10': 4, 'risk_target': ['pedestrians'], 'region': {'x_center_norm': 0.87, 'y_center_norm': 0.6000000000000001, 'width_norm': 0.25, 'height_norm': 0.55}, 'reasoning': 'The parked car occupies space directly adjacent to the sidewalk, leaving minimal lateral clearance. Combined with the debris blockage, this significantly limits safe passage and can make it impossible for wheelchairs or strollers to get through without leaving the sidewalk.'}]</t>
  </si>
  <si>
    <t>[{'id': 'anom_1', 'related_objects': ['obj_1', 'obj_2'], 'type': 'sidewalk_obstruction', 'description': 'Large cardboard box and protruding cardboard pieces placed on the sidewalk, partially blocking the pedestrian path and reducing clear walking width.', 'risk_score_1_to_10': 5, 'risk_target': ['pedestrians'], 'region': {'x_center_norm': 0.43, 'y_center_norm': 0.54, 'width_norm': 0.26, 'height_norm': 0.42}, 'reasoning': 'The box and long pieces stand directly on the paved sidewalk where pedestrians would normally walk at night. This creates a trip and collision hazard, especially in low light or for visually impaired or distracted pedestrians. People may have to step around it, potentially closer to the curb or uneven areas.'}]</t>
  </si>
  <si>
    <t>[{'id': 'anom_1', 'related_objects': ['obj_7', 'obj_1'], 'type': 'object_on_roadway', 'description': 'Loose cloth or blanket lying in the vehicle path near a pedestrian crosswalk.', 'risk_score_1_to_10': 4, 'risk_target': ['drivers', 'pedestrians'], 'region': {'x_center_norm': 0.47000000000000003, 'y_center_norm': 0.63, 'width_norm': 0.2, 'height_norm': 0.12}, 'reasoning': 'An object on the roadway near a crosswalk can distract drivers, obscure smaller hazards, or cause sudden evasive maneuvers, especially at night with reduced visibility. While a cloth is unlikely to damage a vehicle, it can still contribute to minor safety risks for both drivers and pedestrians.'}, {'id': 'anom_2', 'related_objects': ['obj_8', 'obj_1'], 'type': 'small_debris_on_roadway', 'description': 'Small rigid debris (comb or similar) on the road surface close to the crosswalk.', 'risk_score_1_to_10': 3, 'risk_target': ['pedestrians', 'cyclists', 'drivers'], 'region': {'x_center_norm': 0.56, 'y_center_norm': 0.63, 'width_norm': 0.08, 'height_norm': 0.06}, 'reasoning': 'Small debris may pose a trip hazard for pedestrians or a minor hazard to cyclists or small tires if present, particularly at night when it may be less visible. The risk is mild given its small size and typical urban context.'}]</t>
  </si>
  <si>
    <t>[{'id': 'anom_1', 'related_objects': ['obj_2', 'obj_3', 'obj_1'], 'type': 'sidewalk_obstruction', 'description': 'Large cardboard boxes are stored on the sidewalk, partially blocking the pedestrian path and forcing pedestrians to maneuver around them near the curb and hedge.', 'risk_score_1_to_10': 5, 'risk_target': ['pedestrians'], 'region': {'x_center_norm': 0.72, 'y_center_norm': 0.55, 'width_norm': 0.38, 'height_norm': 0.55}, 'reasoning': 'On an urban sidewalk, obstructions of this size are abnormal because they reduce the clear walking width and can be difficult to see at night. Pedestrians, especially those with mobility or visual impairments, may trip over the boxes or be forced closer to the street edge where there is vehicular traffic. The risk is moderate rather than extreme because there is still some space to pass and no immediate evidence of heavy traffic or high speed vehicles.'}]</t>
  </si>
  <si>
    <t>[{'id': 'anom_1', 'related_objects': ['obj_1', 'obj_2'], 'type': 'sidewalk_blocked_by_vehicle', 'description': 'Parked SUV encroaches significantly onto sidewalk, narrowing available pedestrian space.', 'risk_score_1_to_10': 5, 'risk_target': ['pedestrians'], 'region': {'x_center_norm': 0.8200000000000001, 'y_center_norm': 0.62, 'width_norm': 0.35000000000000003, 'height_norm': 0.55}, 'reasoning': "The SUV's right wheels are visible on the paved sidewalk rather than fully on the road, reducing the clear width for pedestrians. At night, this partial obstruction may force pedestrians, strollers, or wheelchair users closer to the debris or off the sidewalk edge, creating a moderate tripping or collision risk."}, {'id': 'anom_2', 'related_objects': ['obj_1', 'obj_6'], 'type': 'sidewalk_obstructed_by_debris', 'description': 'Bulky discarded items and fragments nearly block the sidewalk, leaving little or no clear passage.', 'risk_score_1_to_10': 7, 'risk_target': ['pedestrians'], 'region': {'x_center_norm': 0.55, 'y_center_norm': 0.53, 'width_norm': 0.5, 'height_norm': 0.4}, 'reasoning': 'Large furniture-like pieces and scattered material lie directly across the walking path between the hedge and the parked SUV. In low light, this creates a high tripping hazard and may force pedestrians into the adjacent vehicle area or roadway, posing elevated risk, especially for elderly, disabled individuals, or children.'}]</t>
  </si>
  <si>
    <t>[{'id': 'anom_1', 'related_objects': ['obj_1', 'obj_7', 'obj_8'], 'type': 'sidewalk_obstruction', 'description': 'Vegetation debris and an overturned trash container are blocking a significant portion of the sidewalk near the curb, creating a tripping and navigation hazard for pedestrians.', 'risk_score_1_to_10': 5, 'risk_target': ['pedestrians'], 'region': {'x_center_norm': 0.32, 'y_center_norm': 0.6000000000000001, 'width_norm': 0.5, 'height_norm': 0.55}, 'reasoning': 'On an urban sidewalk, pedestrians expect a clear walking path. The large pile of branches and the overturned bin reduce available walking space and present uneven surfaces that are hard to see at night, increasing trip and fall risk, especially for people with mobility issues or low visibility.'}]</t>
  </si>
  <si>
    <t>[{'id': 'anom_1', 'related_objects': ['obj_2', 'obj_1'], 'type': 'vehicle_blocking_sidewalk', 'description': 'Car is parked directly on the sidewalk, leaving very limited space for pedestrians.', 'risk_score_1_to_10': 6, 'risk_target': ['pedestrians'], 'region': {'x_center_norm': 0.78, 'y_center_norm': 0.55, 'width_norm': 0.44, 'height_norm': 0.7000000000000001}, 'reasoning': 'The white vehicle occupies most of the sidewalk width, forcing pedestrians, including those with strollers, wheelchairs, or limited mobility, to squeeze through or step onto the roadway, increasing exposure to traffic, especially in low light.'}, {'id': 'anom_2', 'related_objects': ['obj_3', 'obj_1'], 'type': 'sidewalk_obstruction_debris', 'description': 'Large pile of household debris fully blocks the sidewalk ahead, creating a tripping hazard and forcing detours into the road.', 'risk_score_1_to_10': 7, 'risk_target': ['pedestrians'], 'region': {'x_center_norm': 0.55, 'y_center_norm': 0.48, 'width_norm': 0.45, 'height_norm': 0.22}, 'reasoning': 'The debris spans the entire width of the sidewalk just beyond the car; at night it may be hard to see, and there is no clear passage around it except moving into the adjacent street, increasing trip-and-fall and vehicle collision risks.'}]</t>
  </si>
  <si>
    <t>[{'id': 'anom_1', 'related_objects': ['obj_1', 'obj_2'], 'type': 'slip_trip_hazard_from_water', 'description': 'Large puddle of standing water directly in the pedestrian walking path on the sidewalk, creating a slip or trip hazard, especially at night when visibility is lower.', 'risk_score_1_to_10': 4, 'risk_target': ['pedestrians'], 'region': {'x_center_norm': 0.53, 'y_center_norm': 0.38, 'width_norm': 0.33, 'height_norm': 0.15}, 'reasoning': 'The puddle occupies a central portion of the sidewalk where pedestrians are likely to step. At night, the reflective surface may be harder to judge, increasing risk of slipping or stepping awkwardly, though the surface appears generally even and there is space to walk around it, so the risk is mild to moderate rather than severe.'}]</t>
  </si>
  <si>
    <t>[{'id': 'anom_1', 'related_objects': ['obj_1', 'obj_4', 'obj_5'], 'type': 'pedestrian_crossing_at_night_with_limited_visibility', 'description': 'Pedestrian in dark clothing is using the crosswalk at night near an intersection with oncoming vehicles; visibility contrast between the pedestrian and road is low, increasing collision risk even though the crosswalk exists.', 'risk_score_1_to_10': 5, 'risk_target': ['pedestrians', 'drivers'], 'region': {'x_center_norm': 0.32, 'y_center_norm': 0.46, 'width_norm': 0.30000000000000004, 'height_norm': 0.35000000000000003}, 'reasoning': 'The scene is dimly lit, and the pedestrian wears dark clothing that blends into the background, making them less conspicuous to drivers. Vehicles with headlights are visible approaching the intersection. Although traffic lights appear to control the intersection and the person is on the crosswalk, nighttime conditions and low-contrast attire moderately elevate the risk of a vehicle-pedestrian conflict.'}, {'id': 'anom_2', 'related_objects': ['obj_2', 'obj_3'], 'type': 'road_surface_irregularity_at_crosswalk', 'description': 'Visible crack or surface break in the asphalt near the far end of the crosswalk where pedestrians step off, which could cause tripping.', 'risk_score_1_to_10': 3, 'risk_target': ['pedestrians'], 'region': {'x_center_norm': 0.63, 'y_center_norm': 0.63, 'width_norm': 0.2, 'height_norm': 0.2}, 'reasoning': 'A noticeable crack or seam in the road surface aligns with the crosswalk path. While not clearly a large pothole, such irregularity at a pedestrian transition point can lead to trips or missteps, especially under low-light conditions, creating a mild safety concern.'}]</t>
  </si>
  <si>
    <t>[{'id': 'anom_1', 'related_objects': ['obj_1', 'obj_7', 'obj_8'], 'type': 'sidewalk_obstruction', 'description': 'Pedestrian path is significantly obstructed by uprooted vegetation, debris, and a loose container along the sidewalk edge.', 'risk_score_1_to_10': 6, 'risk_target': ['pedestrians'], 'region': {'x_center_norm': 0.32, 'y_center_norm': 0.66, 'width_norm': 0.55, 'height_norm': 0.45}, 'reasoning': 'The shrub, soil, and container occupy a substantial portion of the sidewalk where pedestrians would normally walk, especially near the curb. At night, visibility is lower, increasing the likelihood of trips or falls or forcing pedestrians to step into the street near moving or parked vehicles.'}]</t>
  </si>
  <si>
    <t>[{'id': 'anom_1', 'related_objects': ['obj_1', 'obj_7', 'obj_8'], 'type': 'blocked_sidewalk', 'description': 'Sidewalk is significantly obstructed by a large pile of vegetation debris and a toppled container, forcing pedestrians to divert toward the road.', 'risk_score_1_to_10': 6, 'risk_target': ['pedestrians'], 'region': {'x_center_norm': 0.35000000000000003, 'y_center_norm': 0.65, 'width_norm': 0.6000000000000001, 'height_norm': 0.45}, 'reasoning': 'The debris and container occupy a substantial portion of the walking space at the curb edge. At night visibility is lower, increasing trip risk and the likelihood pedestrians will step into the roadway near a crosswalk, where vehicles are present.'}]</t>
  </si>
  <si>
    <t>[{'id': 'anom_1', 'related_objects': ['obj_1', 'obj_4', 'obj_6', 'obj_9'], 'type': 'reduced_pedestrian_visibility_at_night', 'description': 'Pedestrian in dark clothing is crossing at night under tree canopy that limits lighting, while vehicles approach the intersection.', 'risk_score_1_to_10': 5, 'risk_target': ['pedestrians', 'drivers'], 'region': {'x_center_norm': 0.38, 'y_center_norm': 0.54, 'width_norm': 0.5, 'height_norm': 0.6000000000000001}, 'reasoning': 'The scene is generally orderly, but the pedestrian wears dark clothes and is under a large tree that likely blocks overhead light, making them less conspicuous to drivers at night. Approaching vehicles with headlights can see some contrast from the crosswalk, yet detection distance and reaction time may be reduced, posing a moderate collision risk.'}, {'id': 'anom_2', 'related_objects': ['obj_10'], 'type': 'uneven_road_surface_near_crosswalk', 'description': 'Visible cracks and uneven pavement on the road close to the crosswalk.', 'risk_score_1_to_10': 3, 'risk_target': ['drivers', 'cyclists', 'pedestrians'], 'region': {'x_center_norm': 0.72, 'y_center_norm': 0.63, 'width_norm': 0.25, 'height_norm': 0.25}, 'reasoning': 'The cracked and uneven asphalt could affect vehicle braking or stability, especially in wet conditions, and may pose a minor trip hazard when pedestrians step off the crosswalk. In the current dry conditions with low traffic density, this is a mild but persistent infrastructure risk.'}]</t>
  </si>
  <si>
    <t>[{'id': 'anom_1', 'related_objects': ['obj_1', 'obj_2', 'obj_3'], 'type': 'sidewalk_obstruction', 'description': 'Bulky trash and cardboard boxes are placed such that they largely obstruct the sidewalk and extend into the curb area behind a parked car, forcing pedestrians to detour toward the street.', 'risk_score_1_to_10': 6, 'risk_target': ['pedestrians'], 'region': {'x_center_norm': 0.42, 'y_center_norm': 0.6000000000000001, 'width_norm': 0.45, 'height_norm': 0.35000000000000003}, 'reasoning': 'The pile of discarded items occupies much of the pedestrian path between the hedge and the rear of the car, leaving very limited clear width. At dusk visibility is reduced, increasing trip risk, and pedestrians (including those with strollers or mobility impairments) may have to step off the curb into the roadway, exposing them to vehicles.'}, {'id': 'anom_2', 'related_objects': ['obj_3', 'obj_4'], 'type': 'roadside_debris', 'description': 'Cardboard and trash extend from the sidewalk into the painted roadside area near the travel lane, creating a low obstacle that may not be easily seen by drivers or cyclists.', 'risk_score_1_to_10': 4, 'risk_target': ['drivers', 'cyclists'], 'region': {'x_center_norm': 0.55, 'y_center_norm': 0.64, 'width_norm': 0.4, 'height_norm': 0.30000000000000004}, 'reasoning': 'Part of the debris pile extends over or very near the edge line of the street. While vehicles appear to have enough room to pass, the low profile and color of the boxes at dusk increases the chance of a driver or cyclist hitting or swerving around them unexpectedly, especially if a vehicle is pulling into or out of the parking space.'}]</t>
  </si>
  <si>
    <t>[{'id': 'anom_1', 'related_objects': ['obj_1', 'obj_2'], 'type': 'slip_and_trip_hazard', 'description': 'Large water puddle occupying a central portion of the sidewalk, creating a potential slip, trip, or splash hazard for pedestrians, especially at night when visibility is lower.', 'risk_score_1_to_10': 4, 'risk_target': ['pedestrians'], 'region': {'x_center_norm': 0.55, 'y_center_norm': 0.38, 'width_norm': 0.45, 'height_norm': 0.2}, 'reasoning': 'The puddle covers several paving stones in the main pedestrian path, forcing people to step into water, around it near the edge, or onto possibly uneven bricks. At night, this can be less visible, increasing slip or misstep risk, but the surface appears flat and not very deep, so severe injury is unlikely in normal conditions.'}]</t>
  </si>
  <si>
    <t>[{'id': 'anom_1', 'related_objects': ['obj_1', 'obj_3'], 'type': 'vehicle_on_sidewalk', 'description': 'The white car is positioned on or over the pedestrian sidewalk area instead of remaining on the roadway.', 'risk_score_1_to_10': 6, 'risk_target': ['pedestrians', 'drivers'], 'region': {'x_center_norm': 0.6000000000000001, 'y_center_norm': 0.4, 'width_norm': 0.45, 'height_norm': 0.35000000000000003}, 'reasoning': 'The curb clearly separates the brick-paved sidewalk from the road, yet the car is past the curb line and appears to be driving or turning across the sidewalk at a corner. In a typical urban context this is abnormal and can endanger any pedestrians using the walkway, especially in low-light conditions. The driver also risks colliding with street furniture or losing control on the curb.'}]</t>
  </si>
  <si>
    <t>[{'id': 'anom_1', 'related_objects': ['obj_1', 'obj_7', 'obj_8'], 'type': 'sidewalk_obstruction', 'description': 'Large pile of cut vegetation and a container obstructing the pedestrian path along the sidewalk near the curb and close to a crosswalk.', 'risk_score_1_to_10': 5, 'risk_target': ['pedestrians'], 'region': {'x_center_norm': 0.28, 'y_center_norm': 0.66, 'width_norm': 0.4, 'height_norm': 0.4}, 'reasoning': 'The debris occupies a significant portion of the walking area where pedestrians would normally travel, especially near the intersection and crosswalk. At night, visibility is lower, increasing the chance of tripping or forcing pedestrians into the street to bypass the obstruction, which moderately elevates risk.'}]</t>
  </si>
  <si>
    <t>[{'id': 'anom_1', 'related_objects': ['obj_1', 'obj_2'], 'type': 'sidewalk_obstruction', 'description': 'Overgrown bush significantly obstructs the sidewalk, forcing pedestrians to detour close to the curb or wall and reducing clear width of the path.', 'risk_score_1_to_10': 5, 'risk_target': ['pedestrians'], 'region': {'x_center_norm': 0.6000000000000001, 'y_center_norm': 0.55, 'width_norm': 0.32, 'height_norm': 0.33}, 'reasoning': 'The bush visibly projects into the center of the walking path, leaving only a narrow passage between the bush and the wall or near the street edge. This is especially risky at night or for people with visual or mobility impairments, increasing chances of collision, tripping, or stepping into the roadway, though traffic volume appears low, so risk is moderate rather than severe.'}]</t>
  </si>
  <si>
    <t>[{'id': 'anom_1', 'related_objects': ['obj_2', 'obj_3', 'obj_1'], 'type': 'sidewalk_obstruction', 'description': 'Large cardboard boxes are placed on the sidewalk, significantly narrowing the pedestrian path and potentially forcing pedestrians, wheelchairs, or strollers closer to the curb or into the street.', 'risk_score_1_to_10': 5, 'risk_target': ['pedestrians'], 'region': {'x_center_norm': 0.73, 'y_center_norm': 0.53, 'width_norm': 0.38, 'height_norm': 0.55}, 'reasoning': 'The boxes occupy a substantial portion of the right side of the walkway, leaving limited passable width, especially for people with mobility aids or at times of higher foot traffic. At night, visibility is reduced and pedestrians might not see the obstruction clearly, increasing the chance of tripping or stepping off the curb near passing cars.'}]</t>
  </si>
  <si>
    <t>[{'id': 'anom_1', 'related_objects': ['obj_1', 'obj_3'], 'type': 'sidewalk_obstruction_by_vehicle', 'description': 'The silver car is parked partly on the sidewalk, significantly narrowing or blocking the pedestrian path.', 'risk_score_1_to_10': 6, 'risk_target': ['pedestrians'], 'region': {'x_center_norm': 0.30000000000000004, 'y_center_norm': 0.55, 'width_norm': 0.45, 'height_norm': 0.6000000000000001}, 'reasoning': "In an urban setting, sidewalks are reserved for pedestrians. The car's right wheels are on the paved sidewalk, leaving limited space between the car and the wall/vegetation. This forces pedestrians, especially those with strollers, wheelchairs, or limited mobility, to squeeze through or step into the road, increasing collision risk with vehicles, particularly at night when visibility is lower."}]</t>
  </si>
  <si>
    <t>[{'id': 'anom_1', 'related_objects': ['obj_1', 'obj_7', 'obj_8'], 'type': 'sidewalk_obstruction', 'description': 'Uprooted plants, soil, and a plastic container obstruct a significant portion of the sidewalk, forcing pedestrians to divert toward the curb or street.', 'risk_score_1_to_10': 6, 'risk_target': ['pedestrians'], 'region': {'x_center_norm': 0.32, 'y_center_norm': 0.62, 'width_norm': 0.55, 'height_norm': 0.45}, 'reasoning': 'The debris occupies the main walking path on the sidewalk near the curb, creating a tripping hazard especially at night when visibility is lower. Pedestrians, including those with mobility impairments, may have to step closer to the roadway, increasing collision risk with passing vehicles.'}]</t>
  </si>
  <si>
    <t>[{'id': 'anom_1', 'related_objects': ['obj_2', 'obj_3', 'obj_1'], 'type': 'sidewalk_obstruction', 'description': 'Large cardboard box with long items and associated trash stored on the sidewalk, narrowing the pedestrian path and creating a trip hazard, especially at night.', 'risk_score_1_to_10': 5, 'risk_target': ['pedestrians'], 'region': {'x_center_norm': 0.78, 'y_center_norm': 0.47000000000000003, 'width_norm': 0.30000000000000004, 'height_norm': 0.4}, 'reasoning': 'The box and contents encroach significantly into the walking area, forcing pedestrians to deviate toward the curb or dirt edge. At night, reduced visibility increases the chance of tripping or colliding with the box, particularly for distracted walkers, children, or people with visual impairments or mobility aids.'}]</t>
  </si>
  <si>
    <t>[{'id': 'anom_1', 'related_objects': ['obj_1', 'obj_3'], 'type': 'trip_hazard_damaged_sidewalk', 'description': 'Cracked and vertically displaced sidewalk tile forming a narrow gap and height difference on the walking surface.', 'risk_score_1_to_10': 6, 'risk_target': ['pedestrians'], 'region': {'x_center_norm': 0.47000000000000003, 'y_center_norm': 0.58, 'width_norm': 0.2, 'height_norm': 0.25}, 'reasoning': 'On an otherwise flat sidewalk, one tile is cracked and misaligned, creating an uneven surface and a longitudinal gap. At night with shadows and potentially low visibility, pedestrians—including elderly or distracted walkers—may not notice it and could trip or twist an ankle. The hazard is localized but directly in the walking path, making it a moderate risk.'}]</t>
  </si>
  <si>
    <t>[{'id': 'anom_1', 'related_objects': ['obj_1', 'obj_3', 'obj_2'], 'type': 'pedestrian_crossing_against_signal', 'description': 'Pedestrian is walking across the crosswalk while the pedestrian traffic light ahead is red, indicating they should not be crossing.', 'risk_score_1_to_10': 6, 'risk_target': ['pedestrians', 'drivers'], 'region': {'x_center_norm': 0.47000000000000003, 'y_center_norm': 0.6000000000000001, 'width_norm': 0.4, 'height_norm': 0.6000000000000001}, 'reasoning': 'The person is midway on the crosswalk moving toward the sidewalk, and the clearly visible pedestrian signal in front of them is red. Crossing against a red pedestrian light at night increases collision risk if vehicles approach, even if none are currently visible.'}]</t>
  </si>
  <si>
    <t>[{'id': 'anom_1', 'related_objects': ['obj_5', 'obj_6'], 'type': 'obstructed_pedestrian_path', 'description': 'Leaning tree trunk and low branches extend over the sidewalk, narrowing overhead clearance for pedestrians.', 'risk_score_1_to_10': 4, 'risk_target': ['pedestrians'], 'region': {'x_center_norm': 0.33, 'y_center_norm': 0.4, 'width_norm': 0.35000000000000003, 'height_norm': 0.45}, 'reasoning': 'The tree trunk appears to grow from the left edge of the sidewalk and leans strongly over the walkway, with foliage relatively low above head height. While there is still passable space and the pedestrian is able to walk through, the unusual angle and overhang could pose a bump or head-strike hazard, especially in low light or for taller individuals or cyclists using the path.'}]</t>
  </si>
  <si>
    <t>[{'id': 'anom_1', 'related_objects': ['obj_3'], 'type': 'sidewalk_obstruction_tree', 'description': 'Leaning tree trunk and low branches encroach significantly into the sidewalk path, narrowing clear walking space.', 'risk_score_1_to_10': 4, 'risk_target': ['pedestrians'], 'region': {'x_center_norm': 0.28, 'y_center_norm': 0.46, 'width_norm': 0.35000000000000003, 'height_norm': 0.6000000000000001}, 'reasoning': 'The tree trunk emerges from the sidewalk edge and leans across much of the pedestrian way. At night, visibility is reduced, increasing the chance of pedestrians or runners, including those distracted or with limited mobility or vision, colliding with the trunk or being forced closer to the curb edge. However, there is still some passable space, and no immediate collision is depicted, so the risk is moderate rather than severe.'}]</t>
  </si>
  <si>
    <t>[{'id': 'anom_1', 'related_objects': ['obj_1', 'obj_2', 'obj_3'], 'type': 'pedestrian_crossing_against_red_signal', 'description': 'The pedestrian is walking in the crosswalk while the visible signal is red, indicating they may be crossing against the signal.', 'risk_score_1_to_10': 5, 'risk_target': ['pedestrians', 'drivers'], 'region': {'x_center_norm': 0.4, 'y_center_norm': 0.62, 'width_norm': 0.45, 'height_norm': 0.55}, 'reasoning': 'In an urban traffic environment a red signal typically means pedestrians should not be in the crosswalk. The person is mid-crossing while the light above the far curb shows red, suggesting potential conflict with vehicles that might have right of way. Nighttime conditions further reduce visibility, increasing moderate risk even if no vehicles are currently visible.'}]</t>
  </si>
  <si>
    <t>[{'id': 'anom_1', 'related_objects': ['obj_1'], 'type': 'distracted_pedestrian', 'description': 'Pedestrian walking at night while looking down at a phone, potentially reducing awareness of surroundings and nearby traffic.', 'risk_score_1_to_10': 3, 'risk_target': ['pedestrians', 'drivers'], 'region': {'x_center_norm': 0.5, 'y_center_norm': 0.6000000000000001, 'width_norm': 0.2, 'height_norm': 0.35000000000000003}, 'reasoning': 'The individual is on the sidewalk, not in the roadway, but is clearly focused on a phone while moving. In a night-time urban environment next to traffic, reduced situational awareness can increase the chance of stepping off the curb unexpectedly or colliding with other pedestrians or obstacles. However, there is no immediate visible conflict with vehicles, so overall risk is mild.'}]</t>
  </si>
  <si>
    <t>[{'id': 'anom_1', 'related_objects': ['obj_1', 'obj_2'], 'type': 'slip_and_trip_hazard', 'description': 'Standing water puddle occupying part of a pedestrian sidewalk, creating a potential slip hazard and forcing pedestrians to divert around it, especially risky at night when visibility is lower.', 'risk_score_1_to_10': 4, 'risk_target': ['pedestrians'], 'region': {'x_center_norm': 0.52, 'y_center_norm': 0.34, 'width_norm': 0.45, 'height_norm': 0.23}, 'reasoning': 'The puddle covers a noticeable section of the walking path where pedestrians are expected to pass. At night, reflections and low light make depth and edges harder to judge, increasing chances of slipping or stepping awkwardly, particularly for elderly or inattentive pedestrians.'}]</t>
  </si>
  <si>
    <t>[{'id': 'anom_1', 'related_objects': ['obj_1', 'obj_6', 'obj_5'], 'type': 'roadway_obstruction', 'description': 'Large pile of cut tree branches placed along the curb protruding into the roadway and partially blocking the edge of the traffic lane near the sidewalk.', 'risk_score_1_to_10': 6, 'risk_target': ['drivers', 'pedestrians', 'cyclists'], 'region': {'x_center_norm': 0.34, 'y_center_norm': 0.63, 'width_norm': 0.54, 'height_norm': 0.46}, 'reasoning': 'The vegetation debris significantly narrows the usable road width at the curb and may be difficult for drivers or cyclists to see clearly in low light, increasing collision and swerving risk. Pedestrians may also step into the roadway to avoid the debris if it encroaches on the sidewalk edge. In a residential street the expected condition is a clear roadway and curb; this obstruction is abnormal and moderately hazardous, especially at night.'}]</t>
  </si>
  <si>
    <t>[{'id': 'anom_1', 'related_objects': ['obj_1', 'obj_7', 'obj_8'], 'type': 'sidewalk_obstruction', 'description': 'Large pile of cut vegetation and a tipped-over container obstructing most of the sidewalk near the curb.', 'risk_score_1_to_10': 6, 'risk_target': ['pedestrians'], 'region': {'x_center_norm': 0.32, 'y_center_norm': 0.63, 'width_norm': 0.55, 'height_norm': 0.4}, 'reasoning': 'The debris and container significantly narrow or block the pedestrian path, forcing pedestrians, including those with limited mobility, to step closer to the curb or potentially into the street near a crossing at night, increasing trip-and-fall risk and exposure to traffic.'}]</t>
  </si>
  <si>
    <t>[{'id': 'anom_1', 'related_objects': ['obj_2', 'obj_3', 'obj_1'], 'type': 'sidewalk_obstruction', 'description': 'Large cardboard boxes placed on the sidewalk significantly obstruct the pedestrian path next to the hedge.', 'risk_score_1_to_10': 5, 'risk_target': ['pedestrians'], 'region': {'x_center_norm': 0.63, 'y_center_norm': 0.52, 'width_norm': 0.32, 'height_norm': 0.46}, 'reasoning': 'The boxes occupy much of the sidewalk width near the hedge, forcing pedestrians to squeeze by or step closer to the curb or street, increasing trip risk and possible encroachment into the roadway. At night, reduced visibility further elevates the risk, especially for people with mobility or vision impairments.'}]</t>
  </si>
  <si>
    <t>[{'id': 'anom_1', 'related_objects': ['obj_1', 'obj_2', 'obj_3'], 'type': 'sidewalk_obstruction', 'description': 'Large cardboard boxes are placed on the sidewalk, significantly narrowing or blocking the pedestrian path next to the hedge.', 'risk_score_1_to_10': 5, 'risk_target': ['pedestrians'], 'region': {'x_center_norm': 0.68, 'y_center_norm': 0.52, 'width_norm': 0.36, 'height_norm': 0.55}, 'reasoning': 'The boxes occupy much of the walking space between the hedge and the curb, forcing pedestrians to squeeze by or step closer to the road. At night visibility is reduced, making trips or collisions with the boxes more likely, particularly for distracted or mobility-impaired pedestrians.'}]</t>
  </si>
  <si>
    <t>[{'id': 'anom_1', 'related_objects': ['obj_2', 'obj_3', 'obj_1'], 'type': 'sidewalk_obstruction', 'description': 'Large cardboard boxes left on the sidewalk block a significant portion of the pedestrian path, forcing people to divert close to the curb or vegetation.', 'risk_score_1_to_10': 5, 'risk_target': ['pedestrians'], 'region': {'x_center_norm': 0.72, 'y_center_norm': 0.55, 'width_norm': 0.32, 'height_norm': 0.45}, 'reasoning': 'The boxes occupy much of the sidewalk width near a street corner where pedestrian space is important for safe navigation. At night, reduced visibility increases the chance of tripping or colliding with the obstruction, and pedestrians may step closer to the roadway to pass, exposing them to traffic.'}]</t>
  </si>
  <si>
    <t>[{'id': 'anom_1', 'related_objects': ['obj_2', 'obj_3', 'obj_1'], 'type': 'blocked_sidewalk_and_pedestrian_obstruction', 'description': 'The sidewalk is effectively blocked by a combination of a car parked intruding onto the pedestrian path and large discarded furniture/debris piled across it, leaving no clear passage for pedestrians, wheelchairs, strollers, or visually impaired users.', 'risk_score_1_to_10': 7, 'risk_target': ['pedestrians'], 'region': {'x_center_norm': 0.63, 'y_center_norm': 0.56, 'width_norm': 0.54, 'height_norm': 0.52}, 'reasoning': 'Pedestrians walking along the sidewalk encounter a complete obstruction ahead, caused by both an encroaching parked car and bulky waste lying across the path. With a wall and vegetation on the left and the car on the right, pedestrians may be forced into the adjacent roadway among vehicles, which is particularly hazardous at night due to reduced visibility. This presents a significant tripping and collision hazard, especially for vulnerable users.'}]</t>
  </si>
  <si>
    <t>[{'id': 'anom_1', 'related_objects': ['obj_1', 'obj_3', 'obj_4'], 'type': 'trip_hazard_uneven_sidewalk', 'description': 'Broken and misaligned sidewalk tiles with visible gaps and height differences on a nighttime pedestrian path, partially obscured by shadows.', 'risk_score_1_to_10': 6, 'risk_target': ['pedestrians'], 'region': {'x_center_norm': 0.48, 'y_center_norm': 0.62, 'width_norm': 0.45, 'height_norm': 0.35000000000000003}, 'reasoning': 'The central tiles are displaced and cracked, creating an uneven surface and step-like edges that can catch shoes or wheels. At night, with strong shadows across the area, the defect is harder to perceive, increasing the chance of trips or falls for pedestrians, especially elderly people, children, or those with mobility or visual impairments.'}]</t>
  </si>
  <si>
    <t>[{'id': 'anom_1', 'related_objects': ['obj_6', 'obj_7', 'obj_1'], 'type': 'sidewalk_obstruction', 'description': 'Large pile of boards and waste obstructing much of the sidewalk, forcing pedestrians to detour near the curb or street.', 'risk_score_1_to_10': 6, 'risk_target': ['pedestrians'], 'region': {'x_center_norm': 0.58, 'y_center_norm': 0.66, 'width_norm': 0.55, 'height_norm': 0.6000000000000001}, 'reasoning': 'The construction debris and large trash bag occupy a substantial width of the pedestrian path. At night, visibility is reduced, increasing trip or collision risk, especially for children, elderly, or visually impaired pedestrians who may have to step closer to the roadway to pass.'}, {'id': 'anom_2', 'related_objects': ['obj_6', 'obj_4', 'obj_5'], 'type': 'unstable_object_near_electrical_infrastructure', 'description': 'Tall leaning boards appear unsecured right next to an electrical/utility pole with high-voltage warning signs.', 'risk_score_1_to_10': 7, 'risk_target': ['pedestrians', 'utility_workers', 'general_civilians'], 'region': {'x_center_norm': 0.5700000000000001, 'y_center_norm': 0.49, 'width_norm': 0.42, 'height_norm': 0.72}, 'reasoning': 'The boards are tall, leaning and not visibly fastened, presenting a risk of tipping over, particularly in wind or if brushed by a passerby. Their proximity to the utility pole and wiring adds potential for damaging cables or exposing live components if they fall, which is more concerning given the explicit danger signs.'}]</t>
  </si>
  <si>
    <t>[{'id': 'anom_1', 'related_objects': ['obj_2', 'obj_3', 'obj_1'], 'type': 'sidewalk_obstruction', 'description': 'Large discarded cardboard boxes are placed on the sidewalk, significantly narrowing the pedestrian path and creating a trip and collision hazard, especially at night.', 'risk_score_1_to_10': 5, 'risk_target': ['pedestrians'], 'region': {'x_center_norm': 0.7000000000000001, 'y_center_norm': 0.52, 'width_norm': 0.32, 'height_norm': 0.4}, 'reasoning': 'The boxes extend from the hedge toward the center of the sidewalk, forcing pedestrians to divert around them or step closer to the curb. In low light, these obstacles are harder to see, raising the risk of tripping or walking into the street. This is abnormal for an urban sidewalk, where the pedestrian right-of-way is expected to be clear.'}]</t>
  </si>
  <si>
    <t>[{'id': 'anom_1', 'related_objects': ['obj_1', 'obj_4'], 'type': 'vehicle_obstructing_sidewalk', 'description': 'The white SUV is parked fully on the sidewalk, obstructing the pedestrian path instead of being in a designated parking lane.', 'risk_score_1_to_10': 5, 'risk_target': ['pedestrians'], 'region': {'x_center_norm': 0.48, 'y_center_norm': 0.55, 'width_norm': 0.6000000000000001, 'height_norm': 0.75}, 'reasoning': 'In an urban residential setting, the paved area where the SUV is positioned appears to be a sidewalk intended for pedestrian use, while other vehicles are parked along the street curb. Blocking the sidewalk forces pedestrians, including children, elderly, or wheelchair users, to detour or step into the roadway, creating a moderate but not immediately life-threatening risk, especially at night.'}]</t>
  </si>
  <si>
    <t>[{'id': 'anom_1', 'related_objects': ['obj_2', 'obj_3', 'obj_5', 'obj_6'], 'type': 'pedestrians crossing against vehicle green light', 'description': 'Two pedestrians are in the crosswalk while the vehicle traffic lights appear green, suggesting a possible conflict phase where vehicles may have right of way or are about to start moving.', 'risk_score_1_to_10': 5, 'risk_target': ['pedestrians', 'drivers'], 'region': {'x_center_norm': 0.5, 'y_center_norm': 0.55, 'width_norm': 0.7000000000000001, 'height_norm': 0.4}, 'reasoning': 'Both visible traffic lights for vehicles show green, indicating permission for vehicle movement, while two pedestrians are actively crossing mid-crosswalk. Although the van is currently stopped, any vehicle starting while pedestrians are still crossing can cause conflicts, especially at night with potentially reduced visibility. It is unclear whether there is a separate pedestrian signal; thus, risk is rated moderate rather than high.'}]</t>
  </si>
  <si>
    <t>[{'id': 'anom_1', 'related_objects': ['obj_7', 'obj_8', 'obj_1'], 'type': 'sidewalk_obstruction', 'description': 'Sidewalk is heavily obstructed by fallen vegetation, a tipped-over planter, and spilled soil, forcing pedestrians to detour or walk near/into the road.', 'risk_score_1_to_10': 6, 'risk_target': ['pedestrians'], 'region': {'x_center_norm': 0.4, 'y_center_norm': 0.6000000000000001, 'width_norm': 0.8, 'height_norm': 0.55}, 'reasoning': 'The debris occupies a substantial portion of the walking path at night, creating trip hazards and potentially forcing people, including those with mobility impairments, to step closer to the curb or into the roadway near a crosswalk, increasing risk of falls or vehicle interaction.'}]</t>
  </si>
  <si>
    <t>[{'id': 'anom_1', 'related_objects': ['obj_1', 'obj_3'], 'type': 'vehicle_on_sidewalk', 'description': 'A white car is driving or standing on the sidewalk area at the corner, encroaching on pedestrian space.', 'risk_score_1_to_10': 7, 'risk_target': ['pedestrians'], 'region': {'x_center_norm': 0.52, 'y_center_norm': 0.35000000000000003, 'width_norm': 0.45, 'height_norm': 0.35000000000000003}, 'reasoning': "The car's wheels and body are clearly over the brick-paved sidewalk rather than solely on the road, using space meant for pedestrians. At night, visibility is reduced, and a pedestrian coming along the sidewalk (toward the intersection) could be struck or forced into the road. This is abnormal for standard urban traffic norms where vehicles should not travel on sidewalks."}]</t>
  </si>
  <si>
    <t>[{'id': 'anom_1', 'related_objects': ['obj_1', 'obj_2', 'obj_3', 'obj_8'], 'type': 'sidewalk_obstruction_trip_hazard', 'description': 'A large wooden door panel is placed across most of the sidewalk width and partially over the curb, creating a significant trip and fall hazard for pedestrians, especially at night.', 'risk_score_1_to_10': 7, 'risk_target': ['pedestrians'], 'region': {'x_center_norm': 0.53, 'y_center_norm': 0.78, 'width_norm': 0.43, 'height_norm': 0.27}, 'reasoning': 'Pedestrians walking along the sidewalk would have to step over or around the door, which is low, poorly visible in night lighting, and partly raised, increasing the chance of tripping. The obstruction also forces people closer to the curb and parked car, potentially pushing them into the roadway.'}]</t>
  </si>
  <si>
    <t>[{'id': 'anom_1', 'related_objects': ['obj_3'], 'type': 'pedestrian_path_obstruction', 'description': 'Large wooden panel/door lying flat across the sidewalk, significantly blocking the pedestrian path and creating a trip hazard.', 'risk_score_1_to_10': 6, 'risk_target': ['pedestrians'], 'region': {'x_center_norm': 0.42, 'y_center_norm': 0.73, 'width_norm': 0.45, 'height_norm': 0.32}, 'reasoning': 'The panel occupies much of the usable sidewalk width in the foreground, forcing pedestrians to step over it or move close to the curb. At night, visibility is reduced and the raised edge of the panel increases trip and fall risk, particularly for children, elderly, or visually impaired pedestrians.'}, {'id': 'anom_2', 'related_objects': ['obj_3', 'obj_7'], 'type': 'object_protruding_into_street', 'description': 'Corner of the wooden panel appears to extend slightly over the curb line into the roadway area.', 'risk_score_1_to_10': 4, 'risk_target': ['drivers', 'cyclists'], 'region': {'x_center_norm': 0.55, 'y_center_norm': 0.8200000000000001, 'width_norm': 0.30000000000000004, 'height_norm': 0.25}, 'reasoning': 'Although the street seems used primarily for slow local traffic and parked cars, a low-lying object at the curb could be struck by vehicle tires or cyclists and is harder to see at night, leading to potential minor collisions or swerving.'}, {'id': 'anom_3', 'related_objects': ['obj_4', 'obj_5'], 'type': 'improper_waste_storage', 'description': 'Cardboard box and metal frame with loose items left on the sidewalk near the hedge rather than in a designated waste container, partially narrowing the path.', 'risk_score_1_to_10': 3, 'risk_target': ['pedestrians'], 'region': {'x_center_norm': 0.23, 'y_center_norm': 0.55, 'width_norm': 0.2, 'height_norm': 0.25}, 'reasoning': 'While these items occupy less space than the wooden panel, they still reduce effective sidewalk width and create clutter that may contribute to tripping or force pedestrians closer to the curb, especially in low light.'}]</t>
  </si>
  <si>
    <t>[{'id': 'anom_1', 'related_objects': ['obj_4', 'obj_5', 'obj_7'], 'type': 'sidewalk_obstruction', 'description': 'Large pile of boards, panels, and a big trash bag obstruct most of the sidewalk area at the street corner, forcing pedestrians to divert near the curb or into the street.', 'risk_score_1_to_10': 6, 'risk_target': ['pedestrians'], 'region': {'x_center_norm': 0.47000000000000003, 'y_center_norm': 0.6900000000000001, 'width_norm': 0.5700000000000001, 'height_norm': 0.55}, 'reasoning': 'The debris covers a substantial portion of the brick sidewalk at a corner that likely has pedestrian traffic, especially with a crosswalk nearby. At night visibility is reduced, raising trip and fall risk, particularly for children, elderly, or visually impaired pedestrians who may step into the road to bypass the obstruction.'}, {'id': 'anom_2', 'related_objects': ['obj_4', 'obj_6'], 'type': 'materials_leaning_on_electrical_infrastructure', 'description': "Stacked boards and debris are leaned directly against an electrical utility structure displaying 'Danger of Death' warnings.", 'risk_score_1_to_10': 7, 'risk_target': ['pedestrians', 'general_civilians'], 'region': {'x_center_norm': 0.66, 'y_center_norm': 0.53, 'width_norm': 0.33, 'height_norm': 0.62}, 'reasoning': 'Leaning combustible or heavy materials against high-voltage equipment marked with danger signs is unsafe. It can impede access for maintenance, increase fire load, and if the structure is damaged or if materials shift, could expose people to electrical hazards or falling objects. The warnings indicate high voltage, so precautionary clear space is normally expected.'}]</t>
  </si>
  <si>
    <t>[{'id': 'anom_1', 'related_objects': ['obj_7'], 'type': 'object_on_roadway', 'description': 'Piece of clothing or fabric lying in the lane near a pedestrian crosswalk, creating a potential obstacle or distraction for drivers and pedestrians.', 'risk_score_1_to_10': 4, 'risk_target': ['drivers', 'pedestrians', 'cyclists'], 'region': {'x_center_norm': 0.55, 'y_center_norm': 0.63, 'width_norm': 0.23, 'height_norm': 0.14}, 'reasoning': 'An unsecured object on the road where vehicles travel and close to a crosswalk can cause drivers to swerve, brake suddenly, or misinterpret it as a person, especially at night with limited visibility. While it is small and likely to be driven over without major consequences, it still presents a mild but non-zero risk.'}, {'id': 'anom_2', 'related_objects': ['obj_8'], 'type': 'litter_on_roadway', 'description': 'Small piece of debris or trash on the roadway.', 'risk_score_1_to_10': 2, 'risk_target': ['drivers', 'cyclists'], 'region': {'x_center_norm': 0.66, 'y_center_norm': 0.59, 'width_norm': 0.06, 'height_norm': 0.05}, 'reasoning': 'The small debris is unlikely to significantly affect cars but could be a minor hazard or annoyance, particularly for cyclists. Overall, it represents negligible to very low physical risk but reflects poor roadway cleanliness.'}]</t>
  </si>
  <si>
    <t>[{'id': 'anom_1', 'related_objects': ['obj_1', 'obj_5'], 'type': 'vehicle_obstructing_sidewalk', 'description': 'The foreground SUV is parked on the sidewalk, significantly obstructing the pedestrian pathway.', 'risk_score_1_to_10': 5, 'risk_target': ['pedestrians', 'disabled_pedestrians'], 'region': {'x_center_norm': 0.61, 'y_center_norm': 0.58, 'width_norm': 0.55, 'height_norm': 0.73}, 'reasoning': 'The SUV’s wheels and body are clearly on the paved pedestrian area with no visible separation, leaving limited space for pedestrians to pass, especially those with strollers or wheelchairs. At night, visibility is reduced, increasing trip or collision risk as pedestrians may be forced closer to the roadway.'}]</t>
  </si>
  <si>
    <t>[{'id': 'anom_1', 'related_objects': ['obj_1', 'obj_2'], 'type': 'vehicle_obstructing_sidewalk', 'description': 'The car is parked fully on the sidewalk, blocking the pedestrian path and forcing pedestrians to detour, likely into the roadway or around obstacles.', 'risk_score_1_to_10': 6, 'risk_target': ['pedestrians'], 'region': {'x_center_norm': 0.48, 'y_center_norm': 0.53, 'width_norm': 0.73, 'height_norm': 0.66}, 'reasoning': 'The entire width of the paved pedestrian area is occupied by the vehicle, leaving little or no clear passage. At night, pedestrians, including those with strollers, wheelchairs, or reduced visibility, may be forced closer to or into the road, increasing collision risk with passing vehicles.'}, {'id': 'anom_2', 'related_objects': ['obj_1', 'obj_5'], 'type': 'trip_hazard_due_to_forced_detour', 'description': 'Pedestrians diverting around the car may need to pass close to or over the tree pit cut-out, which presents an uneven surface and potential trip hazard, especially in low light.', 'risk_score_1_to_10': 4, 'risk_target': ['pedestrians'], 'region': {'x_center_norm': 0.78, 'y_center_norm': 0.8200000000000001, 'width_norm': 0.28, 'height_norm': 0.31}, 'reasoning': 'The tree pit is an exposed recessed area in the walking path. With the sidewalk blocked by the vehicle, pedestrians may step near or into this area while navigating around the obstruction, increasing the likelihood of tripping or ankle injury in the dark.'}]</t>
  </si>
  <si>
    <t>[{'id': 'anom_1', 'related_objects': ['obj_1', 'obj_2', 'obj_4'], 'type': 'blocked_pedestrian_path', 'description': 'Sidewalk is heavily obstructed by large debris and possibly by the parked SUV, leaving little to no clear passage for pedestrians or mobility devices.', 'risk_score_1_to_10': 7, 'risk_target': ['pedestrians'], 'region': {'x_center_norm': 0.55, 'y_center_norm': 0.6000000000000001, 'width_norm': 0.7000000000000001, 'height_norm': 0.5}, 'reasoning': 'In an urban setting, sidewalks are expected to remain clear for pedestrian traffic. The collapsed object and scattered fragments, combined with the proximity of the parked SUV, force pedestrians into tight spaces or potentially onto the roadway, posing tripping hazards and exposure to vehicle traffic, especially at night with reduced visibility.'}, {'id': 'anom_2', 'related_objects': ['obj_4'], 'type': 'trip_and_cut_hazard_debris', 'description': 'Broken structure with fragmented pieces and possible sharp edges scattered across the walking surface.', 'risk_score_1_to_10': 6, 'risk_target': ['pedestrians'], 'region': {'x_center_norm': 0.52, 'y_center_norm': 0.63, 'width_norm': 0.5, 'height_norm': 0.35000000000000003}, 'reasoning': 'Debris on pedestrian routes can cause trips, falls, or lacerations, particularly in low light conditions. The material appears rigid and fractured, increasing injury potential for people walking, running, or using strollers or wheelchairs.'}]</t>
  </si>
  <si>
    <t>[{'id': 'anom_1', 'related_objects': ['obj_1', 'obj_6', 'obj_7'], 'type': 'sidewalk_obstruction', 'description': 'Fallen or piled vegetation and a container are obstructing a substantial portion of the sidewalk near the curb, forcing pedestrians to divert toward the street or squeeze past.', 'risk_score_1_to_10': 6, 'risk_target': ['pedestrians'], 'region': {'x_center_norm': 0.35000000000000003, 'y_center_norm': 0.55, 'width_norm': 0.55, 'height_norm': 0.55}, 'reasoning': 'The vegetation and container occupy the pedestrian path close to the curb at night, reducing visibility and walking space. People, particularly those with mobility impairments, may be forced closer to the roadway, increasing trip-and-fall risk and potential sidewalk-to-road conflicts.'}]</t>
  </si>
  <si>
    <t>[{'id': 'anom_1', 'related_objects': ['obj_1', 'obj_7', 'obj_8'], 'type': 'sidewalk_obstruction', 'description': 'Cut vegetation, soil, and a tipped-over container are obstructing a significant portion of the sidewalk, forcing pedestrians to detour or step closer to the road.', 'risk_score_1_to_10': 6, 'risk_target': ['pedestrians'], 'region': {'x_center_norm': 0.48, 'y_center_norm': 0.6000000000000001, 'width_norm': 0.55, 'height_norm': 0.45}, 'reasoning': 'In an urban environment, sidewalks are expected to be clear for safe pedestrian passage. The debris pile notably narrows the available walking space at night, increasing trip risk and the chance that pedestrians, including those with mobility issues or pushing strollers, may need to move closer to the curb or briefly step into the roadway, exposing them to vehicle traffic.'}]</t>
  </si>
  <si>
    <t>[{'id': 'anom_1', 'related_objects': ['obj_1', 'obj_5', 'obj_6'], 'type': 'vegetation_obstructing_edge_of_road', 'description': 'Large pile of cut branches and foliage placed along the curb encroaches into the roadway edge and directly borders the pedestrian path, creating potential tripping hazard and partial obstruction for pedestrians and vehicles pulling to the curb.', 'risk_score_1_to_10': 5, 'risk_target': ['pedestrians', 'drivers'], 'region': {'x_center_norm': 0.34, 'y_center_norm': 0.64, 'width_norm': 0.67, 'height_norm': 0.53}, 'reasoning': 'The pile of branches is long, dense, and sits exactly at the curb-line next to the sidewalk. At dusk visibility is reduced, making it easier for pedestrians to trip when stepping off the sidewalk and for drivers to misjudge clearance when parking or pulling over. This is a moderate but not extreme hazard given low traffic and the fact that the main travel lane appears unobstructed.'}]</t>
  </si>
  <si>
    <t>[{'id': 'anom_1', 'related_objects': ['obj_1', 'obj_2', 'obj_3'], 'type': 'sidewalk_obstruction_by_debris', 'description': 'Bulky debris and garbage completely obstructing a narrow sidewalk between a parked car and hedge, forcing pedestrians to climb over, squeeze by the car, or step into the roadway.', 'risk_score_1_to_10': 6, 'risk_target': ['pedestrians'], 'region': {'x_center_norm': 0.55, 'y_center_norm': 0.55, 'width_norm': 0.45, 'height_norm': 0.35000000000000003}, 'reasoning': 'The debris pile occupies nearly the full width of an already narrow sidewalk, with a hedge on one side and a car on the other leaving no clear passage. At night, visibility is reduced, increasing trip and fall risk, and pedestrians may be forced into the street near parked vehicles, exposing them to traffic.'}, {'id': 'anom_2', 'related_objects': ['obj_1', 'obj_2'], 'type': 'reduced_pedestrian_clearance_due_to_parking', 'description': 'Car parked extremely close to the sidewalk path, further narrowing pedestrian space next to existing debris.', 'risk_score_1_to_10': 4, 'risk_target': ['pedestrians'], 'region': {'x_center_norm': 0.8300000000000001, 'y_center_norm': 0.55, 'width_norm': 0.30000000000000004, 'height_norm': 0.6000000000000001}, 'reasoning': 'The vehicle occupies a significant portion of the lateral space adjacent to the sidewalk, leaving limited clearance between the car and hedge. Combined with the debris, this creates a bottleneck that is especially problematic for people with strollers, wheelchairs, or limited mobility, increasing collision or fall risk.'}]</t>
  </si>
  <si>
    <t>[{'id': 'anom_1', 'related_objects': ['obj_1', 'obj_2'], 'type': 'vehicle_obstructing_sidewalk', 'description': 'Parked SUV is encroaching into the sidewalk space, narrowing or partially blocking the pedestrian route.', 'risk_score_1_to_10': 5, 'risk_target': ['pedestrians'], 'region': {'x_center_norm': 0.78, 'y_center_norm': 0.62, 'width_norm': 0.4, 'height_norm': 0.7000000000000001}, 'reasoning': 'The SUV appears very close to or over the paved pedestrian area, leaving limited clearance and forcing pedestrians, including those with strollers or wheelchairs, to navigate near the vehicle or step toward the street, which is moderately hazardous, especially at night.'}, {'id': 'anom_2', 'related_objects': ['obj_1', 'obj_4', 'obj_5'], 'type': 'sidewalk_blocked_by_debris', 'description': 'Large pile of debris and a possible collapsed structure completely blocking the sidewalk.', 'risk_score_1_to_10': 7, 'risk_target': ['pedestrians'], 'region': {'x_center_norm': 0.5, 'y_center_norm': 0.58, 'width_norm': 0.55, 'height_norm': 0.35000000000000003}, 'reasoning': 'The debris occupies the full width of the sidewalk, creating a tripping hazard and forcing pedestrians into the roadway to bypass the obstruction. Sharp fragments or unstable materials may cause falls or injuries, with elevated risk at night due to limited visibility.'}]</t>
  </si>
  <si>
    <t>[{'id': 'anom_1', 'related_objects': ['obj_7', 'obj_8', 'obj_1'], 'type': 'sidewalk_obstruction', 'description': 'Tipped-over trash bin and large pile of branches and debris obstruct a substantial portion of the sidewalk, forcing pedestrians to detour onto the street or narrow gaps.', 'risk_score_1_to_10': 6, 'risk_target': ['pedestrians'], 'region': {'x_center_norm': 0.33, 'y_center_norm': 0.52, 'width_norm': 0.55, 'height_norm': 0.42}, 'reasoning': 'The bin and yard waste occupy the main walking path directly beside the curb. At night, visibility is reduced, increasing trip hazard and the likelihood that pedestrians, including those with mobility or vision impairments, might step into the roadway near the crosswalk. This presents a moderate but not imminent danger.'}]</t>
  </si>
  <si>
    <t>[{'id': 'anom_1', 'related_objects': ['obj_1', 'obj_2'], 'type': 'sidewalk_obstruction', 'description': 'Large cardboard box and packaging waste placed on the sidewalk partially blocking the pedestrian path near the edge of a low wall.', 'risk_score_1_to_10': 5, 'risk_target': ['pedestrians'], 'region': {'x_center_norm': 0.47000000000000003, 'y_center_norm': 0.63, 'width_norm': 0.32, 'height_norm': 0.45}, 'reasoning': 'The box occupies a significant portion of the walking space, forcing pedestrians to squeeze by between the box and the curb or step closer to the wall and rough ground. At night, limited visibility increases trip and collision risk, especially for elderly, children, or people with mobility or visual impairments. However, there remains some passable width, and no immediate vehicle conflict is visible, so the risk is moderate rather than extreme.'}]</t>
  </si>
  <si>
    <t>[{'id': 'anom_1', 'related_objects': ['obj_1', 'obj_7', 'obj_8'], 'type': 'sidewalk_obstruction', 'description': 'Sidewalk is partially obstructed by uprooted plants, soil, and a plastic container, forcing pedestrians toward the edge of the curb or into the street.', 'risk_score_1_to_10': 5, 'risk_target': ['pedestrians'], 'region': {'x_center_norm': 0.4, 'y_center_norm': 0.55, 'width_norm': 0.55, 'height_norm': 0.5}, 'reasoning': 'Debris and vegetation occupy a significant portion of the walking path, especially near the curb where pedestrians would normally walk. At night, visibility is lower, increasing the likelihood of tripping or stepping into the roadway to bypass the obstruction, which adds collision risk from nearby vehicles.'}]</t>
  </si>
  <si>
    <t>[{'id': 'anom_1', 'related_objects': ['obj_1', 'obj_8', 'obj_9'], 'type': 'sidewalk_obstruction_by_debris', 'description': 'Bulky waste including a large yellow bag and multiple boards is piled on the sidewalk, significantly obstructing pedestrian passage near an intersection and crosswalk.', 'risk_score_1_to_10': 6, 'risk_target': ['pedestrians'], 'region': {'x_center_norm': 0.53, 'y_center_norm': 0.6900000000000001, 'width_norm': 0.46, 'height_norm': 0.53}, 'reasoning': 'The waste pile occupies much of the available walking space directly adjacent to the curb and near a crosswalk at night, which can force pedestrians into the street and create tripping hazards, particularly for those with limited mobility or reduced visibility.'}, {'id': 'anom_2', 'related_objects': ['obj_5', 'obj_8', 'obj_9'], 'type': 'combustible_material_near_electrical_equipment', 'description': "Plastic bag and wooden-like boards are stored directly against or beneath electrical infrastructure with explicit 'Danger of Death' warnings.", 'risk_score_1_to_10': 7, 'risk_target': ['general_civilians'], 'region': {'x_center_norm': 0.58, 'y_center_norm': 0.46, 'width_norm': 0.38, 'height_norm': 0.65}, 'reasoning': 'Combustible debris in immediate proximity to high-voltage equipment increases fire risk and can obstruct access in case of electrical fault or maintenance. The danger signs indicate high-voltage presence, so any unnecessary materials in this zone are a significant safety concern.'}]</t>
  </si>
  <si>
    <t>[{'id': 'anom_1', 'related_objects': ['obj_1', 'obj_2', 'obj_3', 'obj_4', 'obj_6'], 'type': 'pedestrian-vehicle proximity at night', 'description': 'Pedestrian crossing in front of and between closely spaced vehicles at night, with limited space and potentially reduced visibility.', 'risk_score_1_to_10': 5, 'risk_target': ['pedestrians', 'drivers'], 'region': {'x_center_norm': 0.47000000000000003, 'y_center_norm': 0.55, 'width_norm': 0.46, 'height_norm': 0.55}, 'reasoning': 'The pedestrian is walking in the active roadway over the crosswalk at night between a stopped white vehicle and a red car near the curb. Nighttime lighting and vehicle brake lights can reduce contrast and reaction time. While using a crosswalk is normal, the tight spacing between cars and the low light increase collision risk if either vehicle starts moving or if another vehicle approaches.'}, {'id': 'anom_2', 'related_objects': ['obj_2', 'obj_6'], 'type': 'partially obstructed crosswalk', 'description': 'Parked car encroaching into the crosswalk area, limiting pedestrian space and visibility.', 'risk_score_1_to_10': 4, 'risk_target': ['pedestrians', 'drivers'], 'region': {'x_center_norm': 0.2, 'y_center_norm': 0.72, 'width_norm': 0.35000000000000003, 'height_norm': 0.38}, 'reasoning': 'The dark car on the left appears to be parked partially over or immediately adjacent to the crosswalk markings, narrowing pedestrian passage and potentially blocking drivers’ view of pedestrians entering the road, particularly hazardous at night.'}]</t>
  </si>
  <si>
    <t>[{'id': 'anom_1', 'related_objects': ['obj_1', 'obj_2'], 'type': 'obstructed_pedestrian_path', 'description': 'Large cardboard boxes are placed on the sidewalk, narrowing the available walking space and creating a tripping and collision hazard for pedestrians, especially at night.', 'risk_score_1_to_10': 5, 'risk_target': ['pedestrians'], 'region': {'x_center_norm': 0.7000000000000001, 'y_center_norm': 0.55, 'width_norm': 0.35000000000000003, 'height_norm': 0.55}, 'reasoning': 'The boxes occupy a significant portion of the sidewalk width, forcing pedestrians to maneuver around them close to the curb or hedge. In low light, these obstacles are less visible, increasing the chance of tripping or contacting traffic if pedestrians step closer to the roadway.'}]</t>
  </si>
  <si>
    <t>[{'id': 'anom_1', 'related_objects': ['obj_2', 'obj_3', 'obj_1'], 'type': 'sidewalk_obstruction', 'description': 'Large discarded cardboard boxes placed on the sidewalk, significantly narrowing the pedestrian path next to the hedge.', 'risk_score_1_to_10': 5, 'risk_target': ['pedestrians'], 'region': {'x_center_norm': 0.72, 'y_center_norm': 0.46, 'width_norm': 0.35000000000000003, 'height_norm': 0.46}, 'reasoning': 'The boxes occupy a substantial portion of the sidewalk width adjacent to the hedge, forcing pedestrians to squeeze by, step closer to the curb, or potentially move into the roadway. At night visibility is reduced, increasing trip/impact risk, especially for people with limited mobility, children, or those distracted.'}]</t>
  </si>
  <si>
    <t>[{'id': 'anom_1', 'related_objects': ['obj_1', 'obj_8', 'obj_9', 'obj_10'], 'type': 'sidewalk_obstruction', 'description': 'Large wooden panel on the ground and associated panels/frames significantly obstruct the pedestrian sidewalk and create a tripping hazard, especially at night.', 'risk_score_1_to_10': 6, 'risk_target': ['pedestrians'], 'region': {'x_center_norm': 0.4, 'y_center_norm': 0.65, 'width_norm': 0.5, 'height_norm': 0.45}, 'reasoning': 'The flat wooden panel lies directly in the main walking path at low height and is poorly visible under nighttime lighting, increasing the risk of pedestrians tripping or having to step into the street to circumvent it. The additional upright panel and metal frame further narrow the passage near the hedge and pole.'}]</t>
  </si>
  <si>
    <t>[{'id': 'anom_1', 'related_objects': ['obj_1', 'obj_2'], 'type': 'slip_trip_hazard', 'description': 'Water puddle occupying a notable portion of the walking path on the sidewalk, potentially causing slips or forcing pedestrians to step around it onto less even areas.', 'risk_score_1_to_10': 4, 'risk_target': ['pedestrians'], 'region': {'x_center_norm': 0.5, 'y_center_norm': 0.42, 'width_norm': 0.4, 'height_norm': 0.18}, 'reasoning': 'At night visibility is reduced, and the puddle blends with the dark pavement. Pedestrians may step into it unexpectedly and slip, or step aside into a narrower or uneven area. However, it does not fully block the path and no active crowding or fast movement is visible, so risk is mild to moderate.'}]</t>
  </si>
  <si>
    <t>[{'id': 'anom_1', 'related_objects': ['obj_1', 'obj_2'], 'type': 'vehicle_on_sidewalk', 'description': 'The SUV is parked with two wheels up on the sidewalk, intruding into pedestrian space.', 'risk_score_1_to_10': 4, 'risk_target': ['pedestrians'], 'region': {'x_center_norm': 0.44, 'y_center_norm': 0.6000000000000001, 'width_norm': 0.7000000000000001, 'height_norm': 0.55}, 'reasoning': 'In an urban environment with a dedicated sidewalk, vehicles are normally expected to remain in the roadway or marked parking bays. This car partially occupies the sidewalk, reducing clear walking space and creating a trip/collision hazard, particularly at night when visibility is lower. Risk is moderate but not extreme because no pedestrians are currently visible and the street appears relatively calm.'}]</t>
  </si>
  <si>
    <t>[{'id': 'anom_1', 'related_objects': ['obj_1', 'obj_2', 'obj_3'], 'type': 'obstructed_sidewalk', 'description': 'Bush significantly narrows and partially obstructs the sidewalk, forcing pedestrians to squeeze by close to the wall or step toward the curb.', 'risk_score_1_to_10': 5, 'risk_target': ['pedestrians'], 'region': {'x_center_norm': 0.63, 'y_center_norm': 0.55, 'width_norm': 0.32, 'height_norm': 0.36}, 'reasoning': 'The bush extends into the walking path at about hip-to-shoulder height, leaving a reduced clear width on the paved sidewalk. At night, visibility is lower and the bush shadow blends with the pavement, increasing trip or collision risk, especially for people with limited mobility, strollers, or wheelchairs who may need to deviate toward the curb edge.'}]</t>
  </si>
  <si>
    <t>[{'id': 'anom_1', 'related_objects': ['obj_7', 'obj_8', 'obj_1'], 'type': 'sidewalk_obstruction', 'description': 'Sidewalk partially blocked by a toppled trash bin and a substantial pile of vegetation and debris along the curb, forcing pedestrians to detour or step closer to the roadway.', 'risk_score_1_to_10': 5, 'risk_target': ['pedestrians'], 'region': {'x_center_norm': 0.30000000000000004, 'y_center_norm': 0.55, 'width_norm': 0.55, 'height_norm': 0.45}, 'reasoning': 'The vegetation and fallen trash bin extend across a significant portion of the walking path, especially near the curb. This can cause tripping, reduced accessibility for wheelchair users or strollers, and may push pedestrians toward the street near a crosswalk at night when visibility is reduced, creating a moderate safety risk.'}]</t>
  </si>
  <si>
    <t>[{'id': 'anom_1', 'related_objects': ['obj_1', 'obj_6'], 'type': 'uneven_sidewalk_surface', 'description': 'Possible damaged or uneven section of the brick sidewalk that could pose a trip hazard to pedestrians, especially at night with potentially limited visibility.', 'risk_score_1_to_10': 4, 'risk_target': ['pedestrians'], 'region': {'x_center_norm': 0.78, 'y_center_norm': 0.4, 'width_norm': 0.18, 'height_norm': 0.22}, 'reasoning': 'The darker, irregular area on the right side of the sidewalk suggests missing or sunken bricks or surface contamination. At night, such irregularities are harder to perceive, increasing the chance of tripping, though the sidewalk is otherwise clear and wide, so overall risk is mild to moderate.'}]</t>
  </si>
  <si>
    <t>[{'id': 'anom_1', 'related_objects': ['obj_2', 'obj_1'], 'type': 'sidewalk_obstruction', 'description': 'Large cardboard boxes stored on the sidewalk significantly narrow or block the pedestrian path next to the hedge.', 'risk_score_1_to_10': 5, 'risk_target': ['pedestrians'], 'region': {'x_center_norm': 0.75, 'y_center_norm': 0.55, 'width_norm': 0.35000000000000003, 'height_norm': 0.5}, 'reasoning': 'The boxes occupy much of the width of the sidewalk near the hedge, forcing pedestrians to squeeze by, step closer to the curb, or potentially move into the road. This increases trip risk and possible conflict with nearby vehicle traffic, especially at night with reduced visibility.'}]</t>
  </si>
  <si>
    <t>[{'id': 'anom_1', 'related_objects': ['obj_6', 'obj_7'], 'type': 'sidewalk_obstruction', 'description': 'A toppled bin or planter and displaced vegetation are obstructing the sidewalk, encroaching into the pedestrian walking path near the curb.', 'risk_score_1_to_10': 6, 'risk_target': ['pedestrians'], 'region': {'x_center_norm': 0.54, 'y_center_norm': 0.66, 'width_norm': 0.55, 'height_norm': 0.48}, 'reasoning': 'The white container is clearly lying on its side among scattered plants and soil, occupying a significant portion of the brick sidewalk where pedestrians would normally walk. At night, visibility is reduced, increasing the chance of someone tripping or stepping into the debris, especially close to the curb where they may also be near moving vehicles.'}]</t>
  </si>
  <si>
    <t>[{'id': 'anom_1', 'related_objects': ['obj_2', 'obj_3', 'obj_4', 'obj_1'], 'type': 'sidewalk_obstruction', 'description': 'Large cardboard box and a big flat object (likely a mattress or panel), combined with overhanging vegetation, significantly narrow or block the sidewalk, forcing pedestrians to squeeze by or step into the street.', 'risk_score_1_to_10': 6, 'risk_target': ['pedestrians'], 'region': {'x_center_norm': 0.72, 'y_center_norm': 0.53, 'width_norm': 0.4, 'height_norm': 0.6000000000000001}, 'reasoning': 'The large box and leaning object occupy much of the sidewalk width at pedestrian height, creating a tripping and collision hazard, especially at night with reduced visibility. People with strollers, wheelchairs, or limited mobility may need to detour onto the roadway near moving cars, increasing exposure to traffic.'}]</t>
  </si>
  <si>
    <t>[{'id': 'anom_1', 'related_objects': ['obj_3'], 'type': 'object_on_roadway_near_crosswalk', 'description': 'A bundle of fabric or clothing is left in the middle of the travel lane, close to the crosswalk, creating a potential obstacle or source of confusion for drivers and pedestrians.', 'risk_score_1_to_10': 5, 'risk_target': ['drivers', 'pedestrians', 'cyclists'], 'region': {'x_center_norm': 0.54, 'y_center_norm': 0.55, 'width_norm': 0.2, 'height_norm': 0.16}, 'reasoning': 'Objects lying in the roadway, especially near pedestrian crossings at night, are abnormal and may cause drivers to swerve or brake unexpectedly, and could trip pedestrians. The object is not large enough to pose extreme danger but is clearly out of place and could still cause moderate risk.'}, {'id': 'anom_2', 'related_objects': ['obj_4'], 'type': 'small_debris_on_roadway', 'description': 'A small piece of debris is present on the road close to the fabric bundle, adding minor hazard as a potential slip or trip point.', 'risk_score_1_to_10': 3, 'risk_target': ['pedestrians', 'cyclists'], 'region': {'x_center_norm': 0.63, 'y_center_norm': 0.5700000000000001, 'width_norm': 0.08, 'height_norm': 0.07}, 'reasoning': 'Loose debris on the roadway near where pedestrians may walk or cyclists may pass can cause minor accidents. Given its small size, the risk is mild but non-zero.'}]</t>
  </si>
  <si>
    <t>[{'id': 'anom_1', 'related_objects': ['obj_2', 'obj_1', 'obj_4'], 'type': 'slip_trip_hazard', 'description': 'Standing water puddle directly in the walking path on the sidewalk, creating a slip hazard especially at night when visibility is lower.', 'risk_score_1_to_10': 4, 'risk_target': ['pedestrians'], 'region': {'x_center_norm': 0.55, 'y_center_norm': 0.32, 'width_norm': 0.35000000000000003, 'height_norm': 0.18}, 'reasoning': 'The puddle occupies the central route where pedestrians would normally walk, forcing them either to step into water, which may be slippery, or to deviate around it in a constrained space near a pole and edge of the path. Nighttime lighting increases the chance of misjudging its depth or position, raising fall risk, though vehicle interaction is absent so overall severity remains moderate.'}]</t>
  </si>
  <si>
    <t>[{'id': 'anom_1', 'related_objects': ['obj_1', 'obj_7'], 'type': 'sidewalk_obstruction', 'description': 'A large door panel is lying across a significant portion of the sidewalk and over the curb, creating a major tripping and obstruction hazard for pedestrians, especially at night.', 'risk_score_1_to_10': 7, 'risk_target': ['pedestrians'], 'region': {'x_center_norm': 0.62, 'y_center_norm': 0.71, 'width_norm': 0.4, 'height_norm': 0.30000000000000004}, 'reasoning': 'The door panel occupies the main walking path and is not marked or lit beyond ambient street lighting. Its low profile and color make it harder to see in low light, raising likelihood of pedestrians tripping or stepping off the curb unexpectedly into the street. It also partially intrudes into the roadway space where someone might step around it into traffic.'}, {'id': 'anom_2', 'related_objects': ['obj_1', 'obj_8'], 'type': 'clutter_on_sidewalk', 'description': 'Additional debris and a metal frame structure are placed on the inner side of the sidewalk, narrowing the available walking space.', 'risk_score_1_to_10': 4, 'risk_target': ['pedestrians'], 'region': {'x_center_norm': 0.33, 'y_center_norm': 0.55, 'width_norm': 0.22, 'height_norm': 0.25}, 'reasoning': 'The clutter against the wall and hedge reduces effective sidewalk width, particularly in combination with the large door panel. While less immediately hazardous than the door, the narrowed passage may force pedestrians to adjust their path abruptly, increasing collision or trip risk, especially for those with mobility issues or low visibility.'}]</t>
  </si>
  <si>
    <t>[{'id': 'anom_1', 'related_objects': ['obj_1', 'obj_2', 'obj_3', 'obj_7'], 'type': 'sidewalk_obstruction_trip_hazard', 'description': 'A large loose panel is obstructing the sidewalk and partly protruding into the curb area, creating a tripping hazard for pedestrians and potential obstruction near parked cars at night.', 'risk_score_1_to_10': 7, 'risk_target': ['pedestrians', 'drivers'], 'region': {'x_center_norm': 0.47000000000000003, 'y_center_norm': 0.72, 'width_norm': 0.33, 'height_norm': 0.23}, 'reasoning': 'The panel occupies a major portion of the walking path at night, blending with the pavement color and partially raised on one side, making it easy to trip over, especially for inattentive or visually impaired pedestrians. Its extension toward the curb also interferes with door opening and ingress/egress from the adjacent parked car, increasing fall risk near the roadway.'}]</t>
  </si>
  <si>
    <t>[{'id': 'anom_1', 'related_objects': ['obj_1', 'obj_2'], 'type': 'sidewalk_obstruction', 'description': 'Large cardboard boxes are placed on the sidewalk, significantly narrowing the pedestrian passage and forcing people to detour close to the curb or hedge.', 'risk_score_1_to_10': 5, 'risk_target': ['pedestrians'], 'region': {'x_center_norm': 0.72, 'y_center_norm': 0.54, 'width_norm': 0.30000000000000004, 'height_norm': 0.4}, 'reasoning': 'The boxes occupy a substantial part of the walking path on a nighttime urban sidewalk adjacent to a trafficked road, reducing clear width and potentially forcing pedestrians, strollers, wheelchair users, or people with low visibility into awkward or unsafe paths near the curb. At night, reduced visibility increases trip and collision risk, but there is still some remaining passable space, so the risk is moderate rather than severe.'}]</t>
  </si>
  <si>
    <t>[{'id': 'anom_1', 'related_objects': ['obj_1', 'obj_2'], 'type': 'damaged_sidewalk_tripping_hazard', 'description': 'A section of sidewalk tiles is broken, displaced, and raised, creating an uneven surface and open crack that can easily trip pedestrians, especially at night.', 'risk_score_1_to_10': 7, 'risk_target': ['pedestrians'], 'region': {'x_center_norm': 0.47000000000000003, 'y_center_norm': 0.55, 'width_norm': 0.35000000000000003, 'height_norm': 0.30000000000000004}, 'reasoning': 'The damaged tiles create a vertical displacement and narrow gap directly in the walking path. In low light conditions, this is difficult to notice and can catch a foot or cause ankle twisting, particularly for elderly people or those not looking down.'}]</t>
  </si>
  <si>
    <t>[{'id': 'anom_1', 'related_objects': ['obj_2', 'obj_1'], 'type': 'water_on_walkway', 'description': 'A sizable puddle occupies a substantial portion of the walking path, forcing pedestrians to detour or step through water, which may be slippery and obscure surface irregularities.', 'risk_score_1_to_10': 4, 'risk_target': ['pedestrians'], 'region': {'x_center_norm': 0.54, 'y_center_norm': 0.34, 'width_norm': 0.4, 'height_norm': 0.18}, 'reasoning': 'The puddle sits directly along the main walking line of the path, where people are expected to walk. At night, visibility is reduced, and wet bricks can be slippery. While unlikely to cause severe injury in normal conditions, it increases the risk of slips, trips, or wet footwear, especially for inattentive or mobility-impaired pedestrians.'}]</t>
  </si>
  <si>
    <t>[{'id': 'anom_1', 'related_objects': ['obj_1', 'obj_2', 'obj_6'], 'type': 'obstructed_sidewalk', 'description': 'A large shrub protrudes into and narrows the sidewalk, significantly blocking the primary walking path, especially hazardous at night or for people with mobility or visual impairments, strollers, or wheelchairs.', 'risk_score_1_to_10': 5, 'risk_target': ['pedestrians'], 'region': {'x_center_norm': 0.63, 'y_center_norm': 0.53, 'width_norm': 0.34, 'height_norm': 0.42}, 'reasoning': 'The bush extends well into the pedestrian corridor, leaving a narrow passage between the plant and the curb or wall. At night, visibility is reduced, increasing trip or collision risk. The obstruction also reduces effective sidewalk width below typical accessibility standards, posing moderate risk to pedestrians.'}]</t>
  </si>
  <si>
    <t>[{'id': 'anom_1', 'related_objects': ['obj_1', 'obj_2'], 'type': 'slip_and_trip_hazard_on_sidewalk', 'description': 'Large water puddle occupying a significant portion of the walking path on the sidewalk, creating a potential slip hazard and forcing pedestrians to detour close to the curb or wall.', 'risk_score_1_to_10': 4, 'risk_target': ['pedestrians'], 'region': {'x_center_norm': 0.52, 'y_center_norm': 0.42, 'width_norm': 0.38, 'height_norm': 0.17}, 'reasoning': 'The puddle is located squarely in the pedestrian path and appears deep enough to cause slipping, splashing, or loss of footing, especially at night when visibility is lower. However, it does not seem to conceal a large hole, and pedestrians can step around it using remaining sidewalk space, so the risk is mild to moderate rather than severe.'}]</t>
  </si>
  <si>
    <t>[{'id': 'anom_1', 'related_objects': ['obj_1', 'obj_2'], 'type': 'sidewalk_parking_obstruction', 'description': 'Car parked on or intruding significantly into the sidewalk, narrowing the pedestrian passageway next to a wall and vegetation.', 'risk_score_1_to_10': 6, 'risk_target': ['pedestrians'], 'region': {'x_center_norm': 0.78, 'y_center_norm': 0.63, 'width_norm': 0.35000000000000003, 'height_norm': 0.55}, 'reasoning': 'The SUV occupies a large portion of the narrow sidewalk, forcing pedestrians, including those with strollers or wheelchairs, to squeeze through a tight gap or step into the roadway. At dusk with limited visibility, this creates a moderate collision and trip risk, especially for vulnerable users.'}, {'id': 'anom_2', 'related_objects': ['obj_1', 'obj_3'], 'type': 'pedestrian_path_blocked_by_debris', 'description': 'Bulky waste/furniture and scattered materials blocking most of the sidewalk further ahead.', 'risk_score_1_to_10': 7, 'risk_target': ['pedestrians'], 'region': {'x_center_norm': 0.52, 'y_center_norm': 0.33, 'width_norm': 0.4, 'height_norm': 0.28}, 'reasoning': 'The debris pile spans nearly the full width of the sidewalk, leaving little to no clear walking path and appearing uneven and unstable. In low light this is a tripping hazard and effectively forces pedestrians into the street to bypass the obstruction, increasing exposure to moving vehicles.'}]</t>
  </si>
  <si>
    <t>[{'id': 'anom_1', 'related_objects': ['obj_1', 'obj_4'], 'type': 'vehicle_blocking_sidewalk', 'description': 'The silver Kia SUV is parked fully on the sidewalk, obstructing the pedestrian pathway and forcing pedestrians, wheelchair users, or strollers to detour, potentially into the roadway.', 'risk_score_1_to_10': 6, 'risk_target': ['pedestrians', 'wheelchair_users', 'stroller_users'], 'region': {'x_center_norm': 0.52, 'y_center_norm': 0.55, 'width_norm': 0.38, 'height_norm': 0.5}, 'reasoning': 'In an urban setting with a clearly defined curb and tiled pedestrian walkway, cars are expected to park on the road or designated bays, not fully occupy the sidewalk. The vehicle blocks almost the entire width of the walkway, leaving little or no safe passage, which can push vulnerable users into the adjacent traffic lanes, especially hazardous at night.'}]</t>
  </si>
  <si>
    <t>[{'id': 'anom_1', 'related_objects': ['obj_2', 'obj_1'], 'type': 'vehicle_blocking_sidewalk', 'description': 'The white car is parked on and occupying a significant portion of the sidewalk, obstructing pedestrian right-of-way.', 'risk_score_1_to_10': 6, 'risk_target': ['pedestrians'], 'region': {'x_center_norm': 0.78, 'y_center_norm': 0.6000000000000001, 'width_norm': 0.44, 'height_norm': 0.78}, 'reasoning': 'Parking on the sidewalk forces pedestrians, including those with strollers or mobility impairments, to divert into the street, especially risky at dusk/early night when visibility is reduced.'}, {'id': 'anom_2', 'related_objects': ['obj_4', 'obj_1'], 'type': 'debris_blocking_walkway', 'description': 'Large debris and household items fully obstructing the sidewalk ahead create a tripping hazard and block passage.', 'risk_score_1_to_10': 7, 'risk_target': ['pedestrians'], 'region': {'x_center_norm': 0.47000000000000003, 'y_center_norm': 0.47000000000000003, 'width_norm': 0.45, 'height_norm': 0.28}, 'reasoning': 'The debris spans nearly the entire width of the sidewalk, leaving little or no clear path. At low light, pedestrians may not see protruding parts, increasing fall risk and forcing them into the roadway where there may be traffic.'}]</t>
  </si>
  <si>
    <t>[{'id': 'anom_1', 'related_objects': ['obj_1', 'obj_3', 'obj_9'], 'type': 'sidewalk_obstruction', 'description': 'Large discarded cardboard boxes and packaging materials are blocking most of the sidewalk behind a parked car, forcing pedestrians to detour onto the street.', 'risk_score_1_to_10': 6, 'risk_target': ['pedestrians'], 'region': {'x_center_norm': 0.44, 'y_center_norm': 0.55, 'width_norm': 0.33, 'height_norm': 0.28}, 'reasoning': 'The packaging pile occupies nearly the full width of the sidewalk at the point where pedestrians would walk, leaving little to no clear passage. At dusk, visibility is reduced, and pedestrians, including those with mobility issues or pushing strollers, may need to step into the roadway near parked cars, increasing risk of conflicts with passing vehicles.'}, {'id': 'anom_2', 'related_objects': ['obj_9'], 'type': 'loose_debris_near_roadway', 'description': 'Loose cardboard and packaging materials are close to the roadway and could be displaced by wind or vehicles, becoming road debris.', 'risk_score_1_to_10': 3, 'risk_target': ['drivers', 'cyclists'], 'region': {'x_center_norm': 0.5, 'y_center_norm': 0.62, 'width_norm': 0.4, 'height_norm': 0.30000000000000004}, 'reasoning': 'Parts of the packaging pile encroach toward the painted road markings, and smaller items appear separated from the main pile. These items could move into the travel lane, posing minor hazards especially to cyclists or motorcyclists; risk is limited because this is a low-speed residential street.'}]</t>
  </si>
  <si>
    <t>[{'id': 'anom_1', 'related_objects': ['obj_1', 'obj_2', 'obj_4'], 'type': 'blocked_sidewalk', 'description': 'The sidewalk is heavily obstructed by large debris and a closely parked car, leaving little or no clear passage for pedestrians.', 'risk_score_1_to_10': 7, 'risk_target': ['pedestrians'], 'region': {'x_center_norm': 0.55, 'y_center_norm': 0.55, 'width_norm': 0.7000000000000001, 'height_norm': 0.5}, 'reasoning': 'Pedestrians must squeeze between the parked car and debris or step into the adjacent roadway, increasing the risk of trips, falls, and conflicts with vehicles, especially at night with limited visibility.'}, {'id': 'anom_2', 'related_objects': ['obj_4'], 'type': 'trip_hazard', 'description': 'Loose objects and coverings on the ground across the walking path create a tripping hazard.', 'risk_score_1_to_10': 6, 'risk_target': ['pedestrians'], 'region': {'x_center_norm': 0.48, 'y_center_norm': 0.55, 'width_norm': 0.45, 'height_norm': 0.35000000000000003}, 'reasoning': 'The bulky items and fabric-like material are low to the ground and may be hard to see in low light, making it easy for pedestrians, including elderly or visually impaired individuals, to stumble and fall.'}]</t>
  </si>
  <si>
    <t>[{'id': 'anom_1', 'related_objects': ['obj_2', 'obj_3', 'obj_1'], 'type': 'blocked_sidewalk_with_debris', 'description': 'Large debris and possibly damaged furniture are strewn across the sidewalk between the hedge and the parked car, effectively blocking pedestrian passage and creating tripping and collision hazards, especially at night.', 'risk_score_1_to_10': 7, 'risk_target': ['pedestrians'], 'region': {'x_center_norm': 0.45, 'y_center_norm': 0.55, 'width_norm': 0.55, 'height_norm': 0.45}, 'reasoning': 'The debris occupies nearly the full width of the sidewalk, leaving little to no clear path between the hedge and the white car. Pedestrians may be forced to climb over the debris or step into the roadway, which is hazardous, particularly in low-light conditions. The hard edges and unstable items also present direct fall and injury risks.'}, {'id': 'anom_2', 'related_objects': ['obj_1', 'obj_2'], 'type': 'vehicle_encroaching_on_sidewalk', 'description': 'The white car appears to be parked partly on or very close to the sidewalk, further narrowing pedestrian space.', 'risk_score_1_to_10': 5, 'risk_target': ['pedestrians'], 'region': {'x_center_norm': 0.78, 'y_center_norm': 0.63, 'width_norm': 0.38, 'height_norm': 0.55}, 'reasoning': 'By occupying the outer edge of the sidewalk, the vehicle reduces the remaining walking space and compounds the obstruction caused by the debris. This increases the likelihood that pedestrians, including those with mobility impairments, must divert into the street or attempt to pass through a tight, unsafe gap.'}]</t>
  </si>
  <si>
    <t>[{'id': 'anom_1', 'related_objects': ['obj_3', 'obj_4'], 'type': 'open_car_door_adjacent_to_traffic_and_sidewalk', 'description': 'A person is standing on the street side of a parked car with the door open into the traffic lane at night, close to passing vehicles and near the pedestrian path.', 'risk_score_1_to_10': 5, 'risk_target': ['drivers', 'pedestrians'], 'region': {'x_center_norm': 0.13, 'y_center_norm': 0.43, 'width_norm': 0.26, 'height_norm': 0.35000000000000003}, 'reasoning': 'The person appears between the traffic lane and the parked car with the car door projecting into the lane. At night, visibility is reduced and nearby vehicles are present, so there is a moderate risk of dooring incidents or the person being struck, as well as pedestrians having to navigate around the open door if they approach.'}]</t>
  </si>
  <si>
    <t>[{'id': 'anom_1', 'related_objects': ['obj_1', 'obj_2', 'obj_3'], 'type': 'vegetation_obstructing_sidewalk', 'description': 'Large shrub significantly narrows and partially obstructs the sidewalk, forcing pedestrians to divert around it, which is particularly problematic at night and for people with visual or mobility impairments.', 'risk_score_1_to_10': 6, 'risk_target': ['pedestrians'], 'region': {'x_center_norm': 0.5, 'y_center_norm': 0.55, 'width_norm': 0.45, 'height_norm': 0.55}, 'reasoning': 'The bush protrudes from the right side into the main walking area, leaving reduced clear width on the left. In nighttime conditions the foliage and its shadows blend with the pavement, increasing trip or collision risk, especially for inattentive pedestrians, children, or those with low vision or using wheelchairs or strollers.'}]</t>
  </si>
  <si>
    <t>[{'id': 'anom_1', 'related_objects': ['obj_1', 'obj_4'], 'type': 'degraded_walking_surface', 'description': 'Extensive cracking along the asphalt path, potentially creating uneven surfaces and small gaps that can catch shoes, wheels, or cause minor trips.', 'risk_score_1_to_10': 4, 'risk_target': ['pedestrians', 'cyclists', 'scooter_riders'], 'region': {'x_center_norm': 0.5, 'y_center_norm': 0.55, 'width_norm': 0.7000000000000001, 'height_norm': 0.9}, 'reasoning': 'The cracks are continuous along the walking/rolling line of travel and may create small height differences or gaps, especially risky at night when visibility is lower. However, they appear relatively narrow and the surface is mostly intact, so the likelihood of severe injury is moderate but non-negligible.'}, {'id': 'anom_2', 'related_objects': ['obj_1', 'obj_5'], 'type': 'slippery_or_uneven_patch', 'description': 'Darker worn or stained patch on the asphalt that could be a smoother, more polished area or previously wet/oily, creating a potential slip zone.', 'risk_score_1_to_10': 3, 'risk_target': ['pedestrians', 'cyclists', 'scooter_riders'], 'region': {'x_center_norm': 0.63, 'y_center_norm': 0.38, 'width_norm': 0.25, 'height_norm': 0.18}, 'reasoning': 'The localized darker area suggests different surface texture or contamination. At night, users may not anticipate the change, which can slightly increase slip risk, but there is no visible standing liquid or large hole, so the risk appears mild.'}]</t>
  </si>
  <si>
    <t>[{'id': 'anom_1', 'related_objects': ['obj_1', 'obj_2', 'obj_6'], 'type': 'obstructed_pedestrian_path', 'description': 'Large pile of cut branches and vegetation is placed along the curb and partially on the pedestrian path, forcing pedestrians to divert toward the road or squeeze past.', 'risk_score_1_to_10': 5, 'risk_target': ['pedestrians'], 'region': {'x_center_norm': 0.32, 'y_center_norm': 0.63, 'width_norm': 0.55, 'height_norm': 0.45}, 'reasoning': 'In a residential street environment, yard waste or branch piles are normally kept clear of main walking paths. Here, the debris extends from the curb into the area where pedestrians would walk, especially in low light. This increases trip-and-fall risk and may push pedestrians closer to the roadway where moving vehicles could be present, creating a moderate safety concern.'}]</t>
  </si>
  <si>
    <t>[{'id': 'anom_1', 'related_objects': ['obj_1', 'obj_7', 'obj_8'], 'type': 'sidewalk_obstruction', 'description': 'Pile of cut branches and a plastic container obstructing a significant portion of the sidewalk near the curb, forcing pedestrians to divert toward the street or narrow path.', 'risk_score_1_to_10': 6, 'risk_target': ['pedestrians'], 'region': {'x_center_norm': 0.30000000000000004, 'y_center_norm': 0.55, 'width_norm': 0.6000000000000001, 'height_norm': 0.45}, 'reasoning': 'The vegetation debris and container occupy the walking zone along the curb, reducing available sidewalk width at night when visibility is lower. Pedestrians, especially those with mobility issues or low vision, may trip over the debris or be forced closer to the curb and potentially into the roadway where vehicles pass.'}]</t>
  </si>
  <si>
    <t>[{'id': 'anom_1', 'related_objects': ['obj_1', 'obj_2'], 'type': 'slip_trip_hazard', 'description': 'Water puddle occupying a section of the pedestrian walkway that may cause slipping or force pedestrians to take narrow paths around it, especially in low light.', 'risk_score_1_to_10': 4, 'risk_target': ['pedestrians'], 'region': {'x_center_norm': 0.52, 'y_center_norm': 0.33, 'width_norm': 0.35000000000000003, 'height_norm': 0.16}, 'reasoning': 'The puddle is large relative to walkway width and is directly in the normal walking path. At night, visibility is reduced, increasing the possibility of missteps or slips, though depth appears shallow and there is still space to walk around it.'}]</t>
  </si>
  <si>
    <t>[{'id': 'anom_1', 'related_objects': ['obj_1', 'obj_8', 'obj_9'], 'type': 'sidewalk_obstruction', 'description': 'Large pile of cut branches and a toppled container obstructing a significant portion of the sidewalk at the curb near a crosswalk.', 'risk_score_1_to_10': 6, 'risk_target': ['pedestrians'], 'region': {'x_center_norm': 0.38, 'y_center_norm': 0.58, 'width_norm': 0.55, 'height_norm': 0.45}, 'reasoning': 'The vegetation debris and container occupy much of the walking path, forcing pedestrians to detour toward the road or step over uneven material, which is especially hazardous at night when visibility is lower and near a crosswalk where foot traffic is expected.'}]</t>
  </si>
  <si>
    <t>[{'id': 'anom_1', 'related_objects': ['obj_5', 'obj_6', 'obj_1'], 'type': 'sidewalk_obstruction', 'description': 'Large cardboard boxes placed on the sidewalk partially blocking the pedestrian path next to the hedge.', 'risk_score_1_to_10': 4, 'risk_target': ['pedestrians'], 'region': {'x_center_norm': 0.7000000000000001, 'y_center_norm': 0.55, 'width_norm': 0.35000000000000003, 'height_norm': 0.5}, 'reasoning': 'The boxes significantly narrow the usable walking width, forcing pedestrians to squeeze by or step closer to the curb, especially hazardous in low-light night conditions or for those with visual or mobility impairments. While not immediately life-threatening, they increase trip risk and potential interaction with traffic if pedestrians divert toward the street.'}]</t>
  </si>
  <si>
    <t>[{'id': 'anom_1', 'related_objects': ['obj_2', 'obj_3'], 'type': 'sidewalk_obstruction', 'description': 'Large cardboard box and bulky board placed on the sidewalk, partially blocking the pedestrian path next to the hedge and wall.', 'risk_score_1_to_10': 5, 'risk_target': ['pedestrians'], 'region': {'x_center_norm': 0.78, 'y_center_norm': 0.55, 'width_norm': 0.32, 'height_norm': 0.6000000000000001}, 'reasoning': 'The upright box and leaning board occupy a significant portion of the sidewalk width near the wall, forcing pedestrians to narrow their path or step closer to the curb. At night, visibility is reduced, increasing trip or collision risk, especially for distracted or mobility-impaired pedestrians. However, there still appears to be some passable space, so risk is moderate rather than extreme.'}, {'id': 'anom_2', 'related_objects': ['obj_9'], 'type': 'trip_hazard_debris', 'description': 'Loose debris and small objects scattered on the brick sidewalk surface.', 'risk_score_1_to_10': 3, 'risk_target': ['pedestrians'], 'region': {'x_center_norm': 0.45, 'y_center_norm': 0.75, 'width_norm': 0.5, 'height_norm': 0.5}, 'reasoning': 'The scattered debris may cause minor trip or slip hazards, especially under low-light conditions. The pieces appear small and spread out, so severe injury likelihood is limited, but it still presents a mild safety concern for pedestrians.'}]</t>
  </si>
  <si>
    <t>[{'id': 'anom_1', 'related_objects': ['obj_1', 'obj_2'], 'type': 'surface_water_on_walkway', 'description': 'A relatively large puddle obstructs part of the pedestrian sidewalk, which may cause slipping or force pedestrians to step into the street or onto uneven surfaces to bypass it.', 'risk_score_1_to_10': 4, 'risk_target': ['pedestrians'], 'region': {'x_center_norm': 0.52, 'y_center_norm': 0.34, 'width_norm': 0.45, 'height_norm': 0.22}, 'reasoning': 'The puddle occupies a substantial area across the normal walking line on a paved sidewalk at night, when visibility is lower. Wet surfaces can be slippery, and pedestrians—especially less mobile individuals—may misjudge depth or step around it onto less safe terrain or near the road. Risk is moderate but not extreme because traffic is not directly visible and the obstacle is clearly detectable.'}]</t>
  </si>
  <si>
    <t>[{'id': 'anom_1', 'related_objects': ['obj_1', 'obj_2'], 'type': 'vehicle_obstructing_sidewalk', 'description': 'The car is parked with its front portion on the sidewalk, significantly narrowing the pedestrian path and forcing pedestrians to deviate or squeeze by.', 'risk_score_1_to_10': 5, 'risk_target': ['pedestrians', 'people_with_disabilities', 'stroller_users'], 'region': {'x_center_norm': 0.23, 'y_center_norm': 0.58, 'width_norm': 0.46, 'height_norm': 0.55}, 'reasoning': "In an urban environment, sidewalks should remain clear for pedestrian movement. The car's front wheel and bumper encroach into the walking space, leaving a narrowed passage next to a fixed wall and bushes. At dusk or night visibility is lower, increasing trip or collision risk, especially for people with limited mobility or pushing strollers who may need to step into the street or turn back."}]</t>
  </si>
  <si>
    <t>[{'id': 'anom_1', 'related_objects': ['obj_1', 'obj_2'], 'type': 'slip_or_trip_hazard_on_sidewalk', 'description': 'A large puddle occupies a significant portion of the sidewalk, creating a slip and trip hazard for pedestrians, especially at night when visibility is lower.', 'risk_score_1_to_10': 5, 'risk_target': ['pedestrians'], 'region': {'x_center_norm': 0.5, 'y_center_norm': 0.32, 'width_norm': 0.5, 'height_norm': 0.25}, 'reasoning': 'The puddle spans much of the walking path so pedestrians may have to step in water or detour close to the curb/parked car. At night the reflection can make depth and extent hard to judge, increasing risk of slipping, especially for elderly or mobility-impaired individuals.'}]</t>
  </si>
  <si>
    <t>[{'id': 'anom_1', 'related_objects': ['obj_2', 'obj_3', 'obj_1'], 'type': 'obstructed_sidewalk', 'description': 'Large cardboard boxes are placed on and protruding into the sidewalk, partially blocking the pedestrian path and creating a potential trip hazard, especially at night with limited visibility.', 'risk_score_1_to_10': 5, 'risk_target': ['pedestrians'], 'region': {'x_center_norm': 0.72, 'y_center_norm': 0.53, 'width_norm': 0.38, 'height_norm': 0.45}, 'reasoning': 'The boxes occupy a significant lateral portion of the walkway, forcing pedestrians to narrow their path or step closer to the curb. At night, reduced visibility increases the risk of people colliding with or tripping over the boxes, particularly for individuals with mobility or visual impairments or those pushing strollers.'}]</t>
  </si>
  <si>
    <t>[{'id': 'anom_1', 'related_objects': ['obj_1', 'obj_3'], 'type': 'vehicle_blocking_sidewalk', 'description': 'Car is parked on the sidewalk, obstructing the pedestrian path and forcing pedestrians to detour into the street or landscaped area.', 'risk_score_1_to_10': 5, 'risk_target': ['pedestrians'], 'region': {'x_center_norm': 0.5, 'y_center_norm': 0.55, 'width_norm': 0.55, 'height_norm': 0.6000000000000001}, 'reasoning': 'In an urban environment with dedicated sidewalks, vehicles are normally parked on the roadway or in marked bays, not on pedestrian paths. The car occupies nearly the full width of the sidewalk so people, including those with strollers or mobility impairments, may need to move onto the road, exposing them to nighttime traffic risk.'}]</t>
  </si>
  <si>
    <t>[{'id': 'anom_1', 'related_objects': ['obj_2', 'obj_3'], 'type': 'vehicle_maneuvering_close_to_pedestrian_space', 'description': 'The white hatchback is positioned very close to the sidewalk edge at a curve near a junction, appearing to reverse or execute a tight maneuver in low light, which may endanger nearby pedestrians using the sidewalk.', 'risk_score_1_to_10': 4, 'risk_target': ['pedestrians', 'drivers'], 'region': {'x_center_norm': 0.54, 'y_center_norm': 0.29, 'width_norm': 0.38, 'height_norm': 0.26}, 'reasoning': "The car's brake lights are on and it is angled relative to the curb at a junction, suggesting active maneuvering rather than being parked. At dusk, visibility is reduced, and the proximity to the pedestrian path raises the risk of a misjudged movement or a pedestrian stepping into the vehicle's path, though no pedestrians are currently visible."}]</t>
  </si>
  <si>
    <t>[{'id': 'anom_1', 'related_objects': ['obj_2', 'obj_3', 'obj_1'], 'type': 'sidewalk_obstruction', 'description': 'Large cardboard items blocking a substantial portion of the sidewalk, forcing pedestrians to divert or squeeze by near the curb or vegetation.', 'risk_score_1_to_10': 5, 'risk_target': ['pedestrians'], 'region': {'x_center_norm': 0.72, 'y_center_norm': 0.58, 'width_norm': 0.32, 'height_norm': 0.45}, 'reasoning': 'The upright box and leaning cardboard encroach into the main walking line on a relatively narrow sidewalk. They reduce available width and create a tripping and collision hazard, especially at night or for people with limited mobility, potentially pushing pedestrians toward the road edge near traffic. The obstruction is notable but not immediately life-threatening, so risk is moderate.'}]</t>
  </si>
  <si>
    <t>[{'id': 'anom_1', 'related_objects': ['obj_1', 'obj_7', 'obj_8'], 'type': 'sidewalk_obstruction', 'description': 'Cut branches, foliage, and a fallen plastic container are obstructing a significant portion of the sidewalk and spilling toward the curb.', 'risk_score_1_to_10': 6, 'risk_target': ['pedestrians'], 'region': {'x_center_norm': 0.33, 'y_center_norm': 0.63, 'width_norm': 0.55, 'height_norm': 0.45}, 'reasoning': 'Pedestrians are forced to navigate around bulky debris that occupies much of the walking path near the curb at night, increasing trip-and-fall risk and potentially pushing them closer to the roadway, especially hazardous in low light.'}]</t>
  </si>
  <si>
    <t>[{'id': 'anom_1', 'related_objects': ['obj_2', 'obj_1'], 'type': 'sidewalk_obstruction', 'description': 'Large cardboard boxes placed on the sidewalk, significantly narrowing the pedestrian passage next to the hedge and close to the curb.', 'risk_score_1_to_10': 5, 'risk_target': ['pedestrians'], 'region': {'x_center_norm': 0.72, 'y_center_norm': 0.53, 'width_norm': 0.35000000000000003, 'height_norm': 0.5}, 'reasoning': 'The boxes take up a substantial portion of the sidewalk width at night, forcing pedestrians to squeeze by, step closer to the curb, or potentially enter the roadway. This is especially hazardous for people with mobility impairments, strollers, or low visibility conditions, but the obstruction is stationary and not immediately life-threatening.'}]</t>
  </si>
  <si>
    <t>[{'id': 'anom_1', 'related_objects': ['obj_1', 'obj_2', 'obj_3'], 'type': 'vehicle encroaching on crosswalk during pedestrian phase', 'description': 'Black SUV is stopped or moving across the crosswalk area while pedestrians are actively crossing under a green pedestrian signal, reducing separation between vehicles and pedestrians.', 'risk_score_1_to_10': 6, 'risk_target': ['pedestrians', 'drivers'], 'region': {'x_center_norm': 0.72, 'y_center_norm': 0.48, 'width_norm': 0.32, 'height_norm': 0.26}, 'reasoning': 'The pedestrian signal is green, indicating pedestrians have right-of-way. The SUV is positioned over or very close to the crossing path at the far side. This increases collision risk if the driver moves forward unexpectedly or if pedestrians assume a fully protected crossing. Nighttime conditions further reduce visibility, so even partial encroachment is a moderate safety concern.'}]</t>
  </si>
  <si>
    <t>[{'id': 'anom_1', 'related_objects': ['obj_1', 'obj_8'], 'type': 'slippery_sidewalk_surface', 'description': 'Wet or slick patch on the pedestrian sidewalk that could cause slipping, especially at night when visibility is lower.', 'risk_score_1_to_10': 3, 'risk_target': ['pedestrians'], 'region': {'x_center_norm': 0.62, 'y_center_norm': 0.63, 'width_norm': 0.25, 'height_norm': 0.18}, 'reasoning': 'The irregular shiny area on the right side of the sidewalk suggests water or another liquid on smooth paving, creating a potential slip hazard. Nighttime conditions may make it less visible to pedestrians, but overall area is not steep or crowded, so risk is mild.'}]</t>
  </si>
  <si>
    <t>[{'id': 'anom_1', 'related_objects': ['obj_1', 'obj_7'], 'type': 'vehicle_obstructing_sidewalk', 'description': 'Foreground SUV is parked with wheels on the sidewalk, substantially blocking pedestrian space.', 'risk_score_1_to_10': 5, 'risk_target': ['pedestrians'], 'region': {'x_center_norm': 0.26, 'y_center_norm': 0.6000000000000001, 'width_norm': 0.52, 'height_norm': 0.63}, 'reasoning': 'In an urban environment, sidewalks are designated for pedestrians. The SUV’s right wheels are on the sidewalk tiles and its body extends across most of the pedestrian path, forcing pedestrians—especially those with wheelchairs, strollers, or at night with reduced visibility—to detour toward the roadway, increasing collision risk.'}, {'id': 'anom_2', 'related_objects': ['obj_2', 'obj_7'], 'type': 'partial_sidewalk_obstruction', 'description': 'Second parked SUV ahead also appears very close to or partially over the sidewalk curb, further narrowing pedestrian passage.', 'risk_score_1_to_10': 4, 'risk_target': ['pedestrians'], 'region': {'x_center_norm': 0.52, 'y_center_norm': 0.47000000000000003, 'width_norm': 0.26, 'height_norm': 0.34}, 'reasoning': 'The midground SUV is aligned similarly to the foreground SUV and appears to be encroaching into sidewalk space. Combined with the first car, this creates a stretch of constrained or blocked sidewalk, compounding the need for pedestrians to walk near or in the roadway.'}]</t>
  </si>
  <si>
    <t>[{'id': 'anom_1', 'related_objects': ['obj_1', 'obj_2'], 'type': 'uneven_pavement_trip_hazard', 'description': 'A transverse step and crack across the pedestrian path creates an abrupt change in level that can trip walkers, joggers, or wheelchair users, especially in low light.', 'risk_score_1_to_10': 6, 'risk_target': ['pedestrians', 'wheelchair_users', 'cyclists'], 'region': {'x_center_norm': 0.5, 'y_center_norm': 0.42, 'width_norm': 0.9, 'height_norm': 0.08}, 'reasoning': 'The raised, broken seam across the full width of the walkway is clearly visible, with a shadowed vertical offset suggesting a lip. On a nighttime path, this constitutes a moderate trip hazard for pedestrians and potential instability for wheeled users, particularly if moving quickly or not expecting surface irregularities.'}, {'id': 'anom_2', 'related_objects': ['obj_1'], 'type': 'surface_degradation_cracked_pavement', 'description': 'Multiple long longitudinal cracks on the pedestrian path indicate surface degradation that can catch heels or small wheels and worsen over time.', 'risk_score_1_to_10': 4, 'risk_target': ['pedestrians', 'wheelchair_users', 'cyclists'], 'region': {'x_center_norm': 0.5, 'y_center_norm': 0.6000000000000001, 'width_norm': 0.9, 'height_norm': 0.8}, 'reasoning': 'Several visible cracks run along the length of the path, some wide enough to pose minor tripping or wheel-catching risks. While less acute than the transverse step, the cumulative effect on a night-lit walkway presents a mild to moderate hazard and suggests ongoing infrastructure deterioration.'}]</t>
  </si>
  <si>
    <t>[{'id': 'anom_1', 'related_objects': ['obj_1', 'obj_2'], 'type': 'sidewalk_obstruction', 'description': 'Large cardboard box with protruding packaging materials partially blocks the sidewalk, narrowing the path for pedestrians.', 'risk_score_1_to_10': 5, 'risk_target': ['pedestrians'], 'region': {'x_center_norm': 0.32, 'y_center_norm': 0.58, 'width_norm': 0.32, 'height_norm': 0.44}, 'reasoning': "The box occupies a significant portion of the walking space on the sidewalk, forcing pedestrians to maneuver around it close to the curb or wall. At night, visibility is reduced and the box's color blends somewhat with the pavement, increasing trip and collision risk, especially for elderly people or those with visual impairments, but vehicles are not directly affected."}, {'id': 'anom_2', 'related_objects': ['obj_1', 'obj_3', 'obj_4'], 'type': 'trip_hazard_debris_near_edge', 'description': 'Debris and discarded packaging near the low wall edge and uneven ground create a potential trip or slip hazard adjacent to the walking area.', 'risk_score_1_to_10': 4, 'risk_target': ['pedestrians'], 'region': {'x_center_norm': 0.63, 'y_center_norm': 0.63, 'width_norm': 0.30000000000000004, 'height_norm': 0.35000000000000003}, 'reasoning': 'Cardboard and plastic pieces are placed close to where pedestrians might step while trying to avoid the main box, in an area with a height change at the wall edge. At night, this debris may be hard to see, increasing likelihood of missteps or slips, though the speed of movement on sidewalks is low so injury severity is moderate.'}]</t>
  </si>
  <si>
    <t>[{'id': 'anom_1', 'related_objects': ['obj_1', 'obj_4', 'obj_6'], 'type': 'vehicle_encroaching_on_sidewalk', 'description': 'The white hatchback is stopped very close to or partly on the sidewalk at the corner, intruding into pedestrian space and potentially obstructing pedestrian movement.', 'risk_score_1_to_10': 5, 'risk_target': ['pedestrians', 'drivers'], 'region': {'x_center_norm': 0.55, 'y_center_norm': 0.32, 'width_norm': 0.35000000000000003, 'height_norm': 0.25}, 'reasoning': 'In a typical urban setting, vehicles should remain on the roadway and behind the curb; this car’s position at the corner appears to overlap pedestrian space, forcing any pedestrians to move closer to traffic and increasing collision risk, especially given low-light conditions. Even if it is briefly stopping or turning, the degree of encroachment onto the sidewalk is abnormal.'}]</t>
  </si>
  <si>
    <t>[{'id': 'anom_1', 'related_objects': ['obj_1', 'obj_2', 'obj_3'], 'type': 'blocked_pedestrian_path', 'description': 'Bulky debris and possible illegally dumped furniture/appliance on the sidewalk, pinned between hedge and parked car, leaving no clear passage for pedestrians.', 'risk_score_1_to_10': 7, 'risk_target': ['pedestrians'], 'region': {'x_center_norm': 0.52, 'y_center_norm': 0.52, 'width_norm': 0.55, 'height_norm': 0.35000000000000003}, 'reasoning': 'The debris lies directly across the only walking space between the hedge and parked car, forcing pedestrians, including those with strollers or mobility impairments, to detour into the roadway at night. Poor lighting and cluttered shapes increase trip-and-fall risk and collision risk from vehicles when pedestrians step into the street.'}]</t>
  </si>
  <si>
    <t>[{'id': 'anom_1', 'related_objects': ['obj_2', 'obj_1'], 'type': 'sidewalk_obstruction_by_vehicle', 'description': 'The SUV is parked intrusively over the sidewalk, reducing pedestrian space and forcing people to squeeze between the car and hedge or step into the road.', 'risk_score_1_to_10': 6, 'risk_target': ['pedestrians'], 'region': {'x_center_norm': 0.79, 'y_center_norm': 0.59, 'width_norm': 0.38, 'height_norm': 0.71}, 'reasoning': 'Sidewalks are intended for pedestrian use; vehicle encroachment narrows the passage, especially hazardous at night when visibility is reduced. People with strollers, wheelchairs, or limited mobility may be forced off the curb into traffic.'}, {'id': 'anom_2', 'related_objects': ['obj_4', 'obj_1'], 'type': 'sidewalk_blocked_by_debris', 'description': 'A large pile of discarded furniture and trash blocks most of the sidewalk ahead, creating a trip hazard and significantly obstructing pedestrian movement.', 'risk_score_1_to_10': 7, 'risk_target': ['pedestrians'], 'region': {'x_center_norm': 0.55, 'y_center_norm': 0.44, 'width_norm': 0.38, 'height_norm': 0.33}, 'reasoning': 'The debris occupies nearly the full width of the walkway between the hedge and parked car. In low light, pedestrians may not see sharp or unstable objects in time, increasing risk of falls or injury and potentially forcing them into the adjacent roadway.'}]</t>
  </si>
  <si>
    <t>[{'id': 'anom_1', 'related_objects': ['obj_1', 'obj_2', 'obj_4'], 'type': 'sidewalk_obstruction', 'description': 'Large cardboard boxes and packaging completely block the sidewalk and force pedestrians to step into the street to pass.', 'risk_score_1_to_10': 7, 'risk_target': ['pedestrians'], 'region': {'x_center_norm': 0.47000000000000003, 'y_center_norm': 0.7000000000000001, 'width_norm': 0.55, 'height_norm': 0.35000000000000003}, 'reasoning': 'The boxes span the full width of the sidewalk directly behind a parked car, leaving no clear passage for pedestrians. At night, visibility is lower, and pedestrians, including those with mobility issues, may be forced into the roadway near parked and potentially moving vehicles, increasing the risk of collision or trips and falls.'}, {'id': 'anom_2', 'related_objects': ['obj_4', 'obj_5'], 'type': 'debris_extending_into_roadway', 'description': 'Cardboard packaging extends from the sidewalk area into the painted zone at the edge of the roadway, partially intruding into the traffic space.', 'risk_score_1_to_10': 5, 'risk_target': ['drivers', 'cyclists'], 'region': {'x_center_norm': 0.58, 'y_center_norm': 0.78, 'width_norm': 0.4, 'height_norm': 0.30000000000000004}, 'reasoning': 'Some pieces of cardboard protrude over the curb line into the marked area of the street. While not a large obstruction for cars, at night it could startle drivers or be hazardous for cyclists or motorcycles that ride close to the curb, potentially causing swerving or loss of control.'}]</t>
  </si>
  <si>
    <t>[{'id': 'anom_1', 'related_objects': ['obj_1', 'obj_5', 'obj_6'], 'type': 'sidewalk_obstruction', 'description': 'Large fallen object with accompanying debris completely obstructing the sidewalk, forcing pedestrians to divert, potentially into the street.', 'risk_score_1_to_10': 7, 'risk_target': ['pedestrians'], 'region': {'x_center_norm': 0.45, 'y_center_norm': 0.55, 'width_norm': 0.6000000000000001, 'height_norm': 0.35000000000000003}, 'reasoning': 'The object and debris occupy the full width of the sidewalk in the mid-ground, leaving no clear passage between the hedge and the parked car. Pedestrians, including those with limited mobility, would need to step into the road or climb over debris, creating trip hazards and exposure to vehicle traffic. The scene appears in an urban area where sidewalks are expected to be clear, so this is a significant but not immediately life-threatening hazard.'}, {'id': 'anom_2', 'related_objects': ['obj_1', 'obj_2'], 'type': 'vehicle_partially_blocking_sidewalk', 'description': 'Parked car encroaching onto the sidewalk, narrowing pedestrian space near the obstruction.', 'risk_score_1_to_10': 5, 'risk_target': ['pedestrians'], 'region': {'x_center_norm': 0.8, 'y_center_norm': 0.55, 'width_norm': 0.35000000000000003, 'height_norm': 0.5}, 'reasoning': 'The car is positioned so that it occupies a portion of the sidewalk, reducing the available width. In combination with the fallen structure, this leaves essentially no safe pedestrian route. While cars on sidewalks are sometimes seen in dense urban areas, it still poses a moderate risk by forcing pedestrians closer to moving traffic and restricting movement space, especially for strollers or wheelchairs.'}]</t>
  </si>
  <si>
    <t>[{'id': 'anom_1', 'related_objects': ['obj_1', 'obj_2', 'obj_3'], 'type': 'sidewalk_obstruction', 'description': 'Large pile of branches and an overturned trash container are obstructing a substantial portion of the sidewalk and curb area, forcing pedestrians to divert toward the street.', 'risk_score_1_to_10': 6, 'risk_target': ['pedestrians'], 'region': {'x_center_norm': 0.37, 'y_center_norm': 0.58, 'width_norm': 0.55, 'height_norm': 0.45}, 'reasoning': 'The debris and fallen bin occupy much of the walking path at the curbside, especially hazardous at night when visibility is lower. Pedestrians, including those with limited mobility or vision, may trip or be forced to walk closer to or into the roadway near parked cars and the crosswalk, increasing risk of trips or vehicle interaction.'}]</t>
  </si>
  <si>
    <t>[{'id': 'anom_1', 'related_objects': ['obj_3'], 'type': 'sidewalk_obstruction', 'description': 'Large discarded white panel leaning into the sidewalk, significantly narrowing the pedestrian passage and creating a tripping/collision hazard, especially in low light.', 'risk_score_1_to_10': 6, 'risk_target': ['pedestrians'], 'region': {'x_center_norm': 0.63, 'y_center_norm': 0.43, 'width_norm': 0.30000000000000004, 'height_norm': 0.32}, 'reasoning': 'The object protrudes into the main walking path at about hip to knee height, forcing pedestrians to divert toward the street edge or step around it. In dusk/early night conditions it may be poorly visible, increasing collision risk, particularly for elderly, distracted, or low-vision pedestrians.'}, {'id': 'anom_2', 'related_objects': ['obj_2'], 'type': 'uneven_or_damaged_sidewalk', 'description': 'Section of sidewalk surface is broken or uneven with missing or patchy paving near the right side, creating a trip hazard.', 'risk_score_1_to_10': 5, 'risk_target': ['pedestrians'], 'region': {'x_center_norm': 0.55, 'y_center_norm': 0.67, 'width_norm': 0.5, 'height_norm': 0.35000000000000003}, 'reasoning': 'The paving shows visible discontinuities and rough, eroded areas on the walking surface. These irregularities can cause pedestrians to stumble, particularly in low light or for those with mobility impairments, but the hazard is localized and avoidable with care.'}, {'id': 'anom_3', 'related_objects': ['obj_1', 'obj_2'], 'type': 'vehicle_encroaching_on_sidewalk', 'description': 'Front of parked SUV appears to extend slightly over the curb onto the sidewalk area, reducing pedestrian clearance near the curb.', 'risk_score_1_to_10': 4, 'risk_target': ['pedestrians'], 'region': {'x_center_norm': 0.33, 'y_center_norm': 0.34, 'width_norm': 0.35000000000000003, 'height_norm': 0.32}, 'reasoning': 'While the main body of the car is on the street, its front bumper is very close to or over the sidewalk area. Combined with the discarded object on the other side, this further narrows the walkway, forcing pedestrians into a constrained space near the street.'}]</t>
  </si>
  <si>
    <t>[{'id': 'anom_1', 'related_objects': ['obj_7', 'obj_8', 'obj_1', 'obj_2'], 'type': 'debris_on_roadway', 'description': 'A crumpled piece of clothing and a small object are lying in the middle of an active traffic lane near a crosswalk.', 'risk_score_1_to_10': 5, 'risk_target': ['drivers', 'pedestrians', 'cyclists'], 'region': {'x_center_norm': 0.52, 'y_center_norm': 0.58, 'width_norm': 0.28, 'height_norm': 0.22}, 'reasoning': 'Loose objects in the roadway can cause drivers or cyclists to swerve unexpectedly, especially at night when visibility is reduced. Their position near a crosswalk increases the chance of interaction with pedestrians or oncoming vehicles. While the items themselves are small and unlikely to cause severe damage, they present a moderate hazard as unexpected obstacles in a travel lane.'}]</t>
  </si>
  <si>
    <t>[{'id': 'anom_1', 'related_objects': ['obj_1', 'obj_4'], 'type': 'degraded_pavement_with_cracks', 'description': 'The main walking/rolling surface shows extensive longitudinal and transverse cracking, indicating deterioration that can cause tripping or instability for pedestrians, wheelchair users, or small-wheeled devices.', 'risk_score_1_to_10': 4, 'risk_target': ['pedestrians', 'cyclists', 'scooter_riders'], 'region': {'x_center_norm': 0.5, 'y_center_norm': 0.6000000000000001, 'width_norm': 0.7000000000000001, 'height_norm': 0.8}, 'reasoning': 'The cracks are long, uneven, and span much of the walking area, creating potential trip edges, especially in low light. While they do not appear to be large holes, they still present a mild to moderate hazard, particularly for those with mobility impairments or for small wheels.'}, {'id': 'anom_2', 'related_objects': ['obj_1', 'obj_5'], 'type': 'slippery_or_contaminated_surface_patch', 'description': 'A darker circular patch suggests moisture, oil, or other residue that may be more slippery than the surrounding surface.', 'risk_score_1_to_10': 3, 'risk_target': ['pedestrians', 'cyclists', 'scooter_riders'], 'region': {'x_center_norm': 0.7000000000000001, 'y_center_norm': 0.30000000000000004, 'width_norm': 0.25, 'height_norm': 0.2}, 'reasoning': 'The localized darker area differs in texture and color from the rest of the pavement, consistent with a wet or stained patch; at night this may be harder to see, causing potential slips or minor loss of traction, though the area is limited in size.'}]</t>
  </si>
  <si>
    <t>[{'id': 'anom_1', 'related_objects': ['obj_1', 'obj_2'], 'type': 'slip_tripping_hazard', 'description': 'Large puddle occupying a significant portion of the walking path at night, creating a slip and trip hazard for pedestrians and reducing usable sidewalk width.', 'risk_score_1_to_10': 5, 'risk_target': ['pedestrians'], 'region': {'x_center_norm': 0.5, 'y_center_norm': 0.42, 'width_norm': 0.5, 'height_norm': 0.25}, 'reasoning': 'The puddle is directly on the main walking line of the sidewalk and appears wide enough that pedestrians must step into or around it. At night, visibility is reduced, increasing the chance of missteps, slips, or stepping into unseen uneven surfaces beneath the water. While not an imminent life-threatening danger, it poses a moderate fall and wet-foot risk.'}]</t>
  </si>
  <si>
    <t>[{'id': 'anom_1', 'related_objects': ['obj_1', 'obj_3'], 'type': 'trip_hazard_from_damaged_sidewalk', 'description': 'Several paving slabs are raised, tilted, and separated, forming an uneven walking surface with protruding edges and gaps on a pedestrian sidewalk.', 'risk_score_1_to_10': 7, 'risk_target': ['pedestrians'], 'region': {'x_center_norm': 0.52, 'y_center_norm': 0.68, 'width_norm': 0.45, 'height_norm': 0.35000000000000003}, 'reasoning': 'This is a pedestrian sidewalk in an urban area, expected to be relatively even. Multiple tiles are clearly lifted and misaligned, which can catch toes or heels. At night, visibility is reduced and shadows cross the area, making the defect harder to see. This creates a significant risk of trips and falls, particularly for elderly people, those with mobility impairments, or anyone walking quickly or distracted.'}]</t>
  </si>
  <si>
    <t>[{'id': 'anom_1', 'related_objects': ['obj_1', 'obj_2', 'obj_4'], 'type': 'sidewalk_obstruction', 'description': 'Bulky waste and cardboard boxes are placed across a significant width of the sidewalk area directly behind a parked car, obstructing pedestrian passage and creating a trip hazard, especially at dusk.', 'risk_score_1_to_10': 5, 'risk_target': ['pedestrians'], 'region': {'x_center_norm': 0.36, 'y_center_norm': 0.62, 'width_norm': 0.33, 'height_norm': 0.26}, 'reasoning': 'In a dense urban residential street pedestrians are expected to walk along the sidewalk. The cluster of boxes and bulky waste occupies much of the sidewalk width near the curb, forcing pedestrians (including vulnerable users like those with strollers or mobility issues) to step into the roadway or navigate around uneven objects. At dusk, reduced visibility increases trip risk. This is moderately hazardous but not immediately life-threatening in this relatively low-speed environment.'}, {'id': 'anom_2', 'related_objects': ['obj_2', 'obj_4'], 'type': 'rear_visibility_obstruction', 'description': "Waste and boxes stacked directly behind the parked car could obstruct the driver's rear visibility and create a collision hazard when the car reverses.", 'risk_score_1_to_10': 4, 'risk_target': ['drivers', 'pedestrians'], 'region': {'x_center_norm': 0.45, 'y_center_norm': 0.6000000000000001, 'width_norm': 0.26, 'height_norm': 0.23}, 'reasoning': 'The pile of waste is very close to the rear of the car and roughly at bumper height. A driver entering the vehicle later may not clearly see these low objects, especially in dim light, and could back into them, potentially pushing debris into the path of pedestrians or into the roadway. However, vehicle speeds in this setting are likely low, so the risk is mild to moderate.'}]</t>
  </si>
  <si>
    <t>[{'id': 'anom_1', 'related_objects': ['obj_1', 'obj_4'], 'type': 'trip_hazard_sidewalk_step', 'description': "The sidewalk has a distinct raised joint or step between slabs, forming a narrow trench-like gap and vertical offset that can easily catch a pedestrian's foot or wheels of mobility aids.", 'risk_score_1_to_10': 7, 'risk_target': ['pedestrians', 'cyclists', 'scooter_riders'], 'region': {'x_center_norm': 0.5, 'y_center_norm': 0.62, 'width_norm': 0.9, 'height_norm': 0.12}, 'reasoning': 'On a pedestrian path, the large transverse discontinuity with visible shadow indicates a vertical height difference. At night, visibility is reduced, increasing the likelihood of trips or falls for walkers and instability for small wheels such as strollers, wheelchairs, or scooters.'}, {'id': 'anom_2', 'related_objects': ['obj_1', 'obj_5'], 'type': 'uneven_cracked_surface', 'description': 'Multiple long cracks along the sidewalk surface suggest unevenness and potential small gaps that can contribute to tripping or catching small wheels.', 'risk_score_1_to_10': 4, 'risk_target': ['pedestrians', 'cyclists', 'scooter_riders'], 'region': {'x_center_norm': 0.5, 'y_center_norm': 0.35000000000000003, 'width_norm': 0.8, 'height_norm': 0.5}, 'reasoning': 'While less severe than the major step, the distributed cracking can still cause minor missteps, especially for elderly pedestrians or those with mobility impairments, and can jolt small-wheeled devices. Nighttime conditions further reduce the ability to anticipate these irregularities.'}]</t>
  </si>
  <si>
    <t>[{'id': 'anom_1', 'related_objects': ['obj_1', 'obj_2'], 'type': 'slip_trip_hazard_puddle_on_walkway', 'description': 'A sizable water puddle in the middle of a pedestrian sidewalk could cause slipping, particularly at night when visibility is reduced.', 'risk_score_1_to_10': 4, 'risk_target': ['pedestrians'], 'region': {'x_center_norm': 0.55, 'y_center_norm': 0.33, 'width_norm': 0.38, 'height_norm': 0.16}, 'reasoning': 'The puddle is located directly in the pedestrian path, forcing people either to step through water, which can be slippery on smooth pavers, or to divert around it in a constrained space near a parked car and bollard at night, increasing trip or slip risk.'}]</t>
  </si>
  <si>
    <t>[{'id': 'anom_1', 'related_objects': ['obj_1', 'obj_2', 'obj_3'], 'type': 'obstructed_sidewalk', 'description': 'Large construction debris and a trash bag are placed on the sidewalk, significantly narrowing or blocking the pedestrian path near an intersection.', 'risk_score_1_to_10': 6, 'risk_target': ['pedestrians'], 'region': {'x_center_norm': 0.47000000000000003, 'y_center_norm': 0.72, 'width_norm': 0.46, 'height_norm': 0.45}, 'reasoning': 'The boards and large bag occupy much of the brick sidewalk area where pedestrians would normally walk, forcing them to step into the roadway or navigate around protruding objects, creating a moderate trip and collision risk, especially at night.'}, {'id': 'anom_2', 'related_objects': ['obj_2', 'obj_4', 'obj_5'], 'type': 'unstable_materials_near_electrical_infrastructure', 'description': "Long panels are leaning against an electrical pole and cabinet signed 'Danger of Death', which could fall or interfere with access to high-voltage equipment.", 'risk_score_1_to_10': 7, 'risk_target': ['pedestrians', 'maintenance_workers'], 'region': {'x_center_norm': 0.66, 'y_center_norm': 0.55, 'width_norm': 0.33, 'height_norm': 0.55}, 'reasoning': 'Stacked boards leaning against energized infrastructure can be unstable; if they fall, they could injure passersby or damage equipment. Their placement directly against high-voltage gear also complicates safe access for workers, which is particularly concerning given the explicit high-voltage warning.'}]</t>
  </si>
  <si>
    <t>[{'id': 'anom_1', 'related_objects': ['obj_1', 'obj_7', 'obj_8', 'obj_9'], 'type': 'sidewalk_obstruction', 'description': 'Fallen tree/vegetation debris and a tipped plastic container are blocking a significant portion of the sidewalk near the curb, forcing pedestrians to detour toward the street or narrow remaining passage.', 'risk_score_1_to_10': 5, 'risk_target': ['pedestrians'], 'region': {'x_center_norm': 0.35000000000000003, 'y_center_norm': 0.62, 'width_norm': 0.55, 'height_norm': 0.45}, 'reasoning': 'The pile of branches and the overturned container occupy much of the walking space, especially in low-light nighttime conditions, increasing trip and fall risk and potentially forcing pedestrians, including those with strollers or wheelchairs, closer to the roadway where vehicles are passing.'}]</t>
  </si>
  <si>
    <t>[{'id': 'anom_1', 'related_objects': ['obj_1', 'obj_2'], 'type': 'slip_trip_hazard', 'description': 'Large puddle occupying a significant portion of the sidewalk walking path at night, creating a slip and trip hazard for pedestrians with reduced visibility.', 'risk_score_1_to_10': 5, 'risk_target': ['pedestrians'], 'region': {'x_center_norm': 0.52, 'y_center_norm': 0.47000000000000003, 'width_norm': 0.35000000000000003, 'height_norm': 0.17}, 'reasoning': 'The puddle is broad enough that most pedestrians must step into or around it on the paved path. At night, reflections and poor lighting can make depth or ice (in cold climates) harder to judge, increasing likelihood of slips or missteps, especially for elderly or distracted walkers.'}]</t>
  </si>
  <si>
    <t>[{'id': 'anom_1', 'related_objects': ['obj_1'], 'type': 'damaged_pavement_cracks', 'description': 'Long, uneven cracks in the asphalt that could create trip hazards for pedestrians or instability for small-wheeled devices.', 'risk_score_1_to_10': 4, 'risk_target': ['pedestrians', 'cyclists', 'scooter_riders'], 'region': {'x_center_norm': 0.45, 'y_center_norm': 0.55, 'width_norm': 0.6000000000000001, 'height_norm': 0.9}, 'reasoning': 'The cracks are narrow but long and uneven along the walking surface, which may catch shoes, canes, or small wheels, especially at night when visibility is reduced. However, the damage is not extreme (no large holes or vertical displacement), so risk is mild to moderate rather than severe.'}]</t>
  </si>
  <si>
    <t>[{'id': 'anom_1', 'related_objects': ['obj_1', 'obj_2', 'obj_3', 'obj_6'], 'type': 'sidewalk_obstruction_and_roadway_debris', 'description': 'Large pile of cardboard boxes and packaging obstructing the pedestrian path on the sidewalk edge and protruding into the street area near a parked car.', 'risk_score_1_to_10': 6, 'risk_target': ['pedestrians', 'drivers', 'cyclists'], 'region': {'x_center_norm': 0.47000000000000003, 'y_center_norm': 0.63, 'width_norm': 0.42, 'height_norm': 0.32}, 'reasoning': 'The boxes occupy much of the space where pedestrians would walk along the curb, forcing them toward the roadway or around a parked car, which is risky at dusk when visibility is reduced. The loose cardboard also slightly extends into the marked road area, posing a tripping hazard for pedestrians and a potential obstacle for cyclists or close-passing vehicles.'}]</t>
  </si>
  <si>
    <t>Geolocation inference: likely a Mediterranean or Middle Eastern urban area (e.g., Israel) based on license plate coloring, curb paint, architecture, and signage style; confidence medium. Main concern is pedestrian safety due to obstruction; vehicle traffic appears normal.</t>
  </si>
  <si>
    <t>Geolocation confidence is low; appears to be a generic urban street, possibly in a warm-climate city given vegetation and building style. Risk is elevated by nighttime lighting and proximity to active traffic.</t>
  </si>
  <si>
    <t>Geolocation inference: medium-confidence that this is a Mediterranean or European urban residential area based on building style, road signage, and vegetation. The main safety concern is nighttime pedestrian movement around the obstructing box.</t>
  </si>
  <si>
    <t>Geolocation inference: likely an urban area in a region using red-white painted curbs (common in parts of the Middle East / Mediterranean); assessment low-confidence and not essential to risk evaluation. Nighttime conditions may further reduce visibility of the obstruction.</t>
  </si>
  <si>
    <t>Step 1 – Geolocation &amp; Context: Likely a Mediterranean or Middle Eastern urban area (e.g., Israel or Southern Europe) inferred from vegetation, parked vehicles, license plate color/shape, and urban design; confidence low-to-medium and only used for general context. Step 2 – Scene Type: Sidewalk/pedestrian zone along an urban roadway at night. Step 3 – No visible pedestrians, cyclists, obstacles, or evident infrastructure damage; lighting appears adequate and traffic is separated from pedestrian area by curb and parked cars. No specific anomalies or abnormal risks are apparent in this single frame.</t>
  </si>
  <si>
    <t>Step 1 – Geolocation &amp; Context: The license plate style, car types, wall finishes, and Mediterranean vegetation suggest a Mediterranean or Middle Eastern urban area (plausibly Israel or a similar region). This is low- to medium-confidence and based only on visible plate colors and architecture; no legible language is clear. Step 2 – Scene Type: This is primarily a sidewalk/pedestrian zone adjacent to a roadway in a mixed urban residential setting. Step 3/4 – Scene Description &amp; Objects: The area appears orderly with a wide, unobstructed sidewalk, parked cars confined to the roadway, adequate lighting, and a single pedestrian. The fire hydrant/standpipe is close to the walking path but not clearly reducing usable width significantly. Step 5 – Anomaly Detection: No vehicles are encroaching on the sidewalk, no visible damage to pavement or wall, no exposed cables, flooding, or debris. Pedestrian behavior appears normal. The tree canopy does not appear to block headroom, and night lighting seems sufficient. Therefore, no clear anomaly or abnormal safety risk is evident relative to typical urban standards. Overall the environment appears safe for normal pedestrian and vehicular use under nighttime conditions.</t>
  </si>
  <si>
    <t>Likely urban area in a temperate region; geolocation confidence is low as there are no clear language or signage cues. Risk mainly arises from nighttime visibility combined with the physical obstruction on the sidewalk.</t>
  </si>
  <si>
    <t>Geolocation inference: signage language and design suggest a Middle Eastern urban area, likely Israel (medium confidence). Risks are primarily pedestrian-related due to clutter on the sidewalk in a residential neighborhood at night.</t>
  </si>
  <si>
    <t>Location context: likely an urban area in a temperate region; language on the box is not clearly readable. Assessment is medium-confidence. The main safety concern is pedestrian circulation, not vehicular traffic.</t>
  </si>
  <si>
    <t>Geolocation confidence is low; scene appears to be a temperate or Mediterranean urban area based on architecture, brick sidewalk, and vehicles. Risk is increased by nighttime lighting and limited pedestrian escape routes around the debris.</t>
  </si>
  <si>
    <t>Step 1 – Geolocation &amp; Context Assessment: The scene appears to be an urban street in a European or Mediterranean city, inferred from the architecture, compact hatchback vehicles, curb design, and brick sidewalk. Confidence: low-to-medium, as no explicit language or signage is clearly visible. Step 2 – Scene Type: Roadway/traffic environment, sidewalk/pedestrian zone, and residential/mixed urban. Step 3 – Scene Description: A nighttime or dusk setting with vehicles near an intersection and an empty sidewalk in the foreground. Step 4 – Object Identification: Key objects are the roadway, sidewalk, parked or slowly moving cars, van, buildings, vegetation, and a storm drain. Step 5 – Anomaly Detection: No clear anomalies are visible; vehicles appear to be within the road area near a junction, and the sidewalk is unobstructed. Step 6 – Risk Assessment: With no detected anomalies and no pedestrians or obvious hazardous behavior, risk is baseline urban night-time traffic risk only. Step 7 – Spatial Localization: Not applicable as no anomalies were identified. Step 8 – Reasoning: The cars are within the roadway; there is no evident wrong-way driving, off-road movement, or immediate conflict with pedestrians. The environment looks reasonably maintained. Step 9 – Overall Safety Impact Summary: The scene appears generally safe with routine urban traffic; no specific elevated or abnormal risk is apparent.</t>
  </si>
  <si>
    <t>Geographic and cultural context inference: likely Southern/Western Europe or Mediterranean urban residential area, based on architecture, crosswalk markings, and signage style; confidence medium. No pedestrians are present in this frame, and traffic appears light, which moderates but does not eliminate the risk posed by the debris.</t>
  </si>
  <si>
    <t>Risk would be higher for people with limited mobility, strollers, or wheelchairs, who may find the narrowed path difficult or be forced closer to the roadway.</t>
  </si>
  <si>
    <t>Step 1 – Geolocation &amp; Context: Likely a European or Mediterranean urban environment (medium-confidence) inferred from vehicle styles, brick sidewalk, and general streetscape; no signage is clearly legible to refine further. Step 2 – Scene Type: Mixed urban, roadway/traffic environment adjacent to a sidewalk. Step 3–8 – No clearly abnormal behaviors or infrastructure hazards are visible: vehicles appear to be on the road, sidewalk is unobstructed, lighting sufficient to see the curb. No pedestrians, animals, or evident damage are visible that would significantly elevate risk beyond ordinary nighttime urban traffic conditions.</t>
  </si>
  <si>
    <t>Step 1 – Likely an urban area in a temperate or Mediterranean city based on tree species, brick sidewalk style, and curb markings; confidence low to medium. Environment appears orderly with clear separation between sidewalk and roadway, adequate lighting, and no obvious obstructions, damage, or vulnerable users present. No anomaly or abnormal risk detected in this scene given the available frame.</t>
  </si>
  <si>
    <t>Step 1 – Likely a Mediterranean or similar temperate urban area (medium confidence) inferred from vegetation, paving style, and night lighting. No obvious safety anomalies: the walkway appears unobstructed until the distant gate, lighting is adequate, and no people, vehicles, or hazards are present on the path.</t>
  </si>
  <si>
    <t>No clear hazards or abnormal conditions are visible; sidewalk appears unobstructed, with standard bollards and a parked car at the curb in what seems to be a normal configuration for an urban nighttime setting.</t>
  </si>
  <si>
    <t>Geolocation &amp; context: Low- to medium-confidence inference of a mixed urban area, possibly in a region where red-and-white curbs indicate parking or stopping regulations. Lighting appears adequate and the sidewalk surface looks even with no clearly visible structural damage or obstructions; dark patches may be stains or minor wet areas but do not appear extensive enough to be confidently classified as hazards from this single frame.</t>
  </si>
  <si>
    <t>Step 1 – Geolocation &amp; context: Likely a modern urban street in a temperate or Mediterranean city (medium-confidence) inferred from tree species, paving style, and street furniture. No pedestrians or vehicles in motion are visible. Wet pavement is normal after rain and does not appear flooded or visibly slippery beyond ordinary conditions. No anomaly or abnormal risk detected in this scene.</t>
  </si>
  <si>
    <t>Geolocation inference: likely a Mediterranean urban environment (possibly Middle East/Israel) based on license plate style, building design, and vegetation; confidence medium. This assessment informs that sidewalk obstruction by vehicles is an urban traffic violation and a meaningful pedestrian safety concern.</t>
  </si>
  <si>
    <t>Step 1: Likely a generic urban area in a temperate climate (medium-confidence), but no distinct regional markers are visible; scene appears typical for an evening sidewalk. Step 2: Sidewalk/pedestrian zone in a residential or mixed-urban environment. No visible traffic or environmental anomalies; pedestrian appears to be walking normally with adequate sidewalk width and clear path.</t>
  </si>
  <si>
    <t>No pedestrians, vehicles, or obvious hazards are present on the central pathway or adjacent sidewalk. Lighting appears adequate for night conditions, and no infrastructure damage, obstructions, or environmental risks are visible. Scene seems typical and safe for an urban pedestrian zone at night.</t>
  </si>
  <si>
    <t>Step 1 – Geolocation &amp; Context: The scene appears to be an urban or suburban sidewalk in a temperate or warm-climate city, with organized landscaping and modern lighting. No clear language or signage is visible, so geographic inference is low-confidence; it could be in many regions with similar infrastructure (e.g., Europe, Latin America, parts of Asia or North America). Step 2 – Scene Type: Sidewalk / pedestrian zone; adjacent roadway; mixed urban with landscaped corridor. Step 5 – Anomaly Detection: The sidewalk is unobstructed, level, and well lit, with no visible pedestrians, vehicles intruding on the path, debris, water, or construction hazards. Vegetation is contained in beds and does not significantly block the walking surface. Railings separate pedestrians from the road. Therefore, no specific anomalies or abnormal risks are detectable from this single frame. Overall, the environment appears orderly and safe for pedestrians at this moment.</t>
  </si>
  <si>
    <t>Step 1 – Geolocation &amp; context: Likely an urban or campus walkway in a temperate region; confidence low given absence of signage or distinct architecture. Nighttime lighting increases relevance of surface defects, as they are harder to see. Dominant risk is tripping or minor falls from cracked pavement and localized wetness; situation is potentially hazardous but not actively dangerous.</t>
  </si>
  <si>
    <t>Well-lit sidewalk with clear separation from roadway and no visible pedestrians or immediate hazards. Traffic appears orderly with proper lighting; no abnormal risks evident in this single frame.</t>
  </si>
  <si>
    <t>Step 1 context: Signs appear to use Hebrew script and European-style blue road signage, suggesting an urban area likely in Israel or a similar region (medium confidence). Scene type: urban residential street with sidewalk and parked cars at night.</t>
  </si>
  <si>
    <t>Geolocation context confidence is low-to-medium; the scene appears to be a well-lit urban or suburban sidewalk or shared-use path in a temperate or warm-climate city. Main concern is the abrupt level change across the path, which is particularly hazardous at night and should ideally be leveled or clearly marked.</t>
  </si>
  <si>
    <t>Step 1 – Likely an urban area in a warm-climate city (e.g., Mediterranean) based on street design, vegetation, and night lighting; confidence low-medium and assumptions about region do not reveal specific country. Step 2 – Scene type: sidewalk/pedestrian zone adjacent to roadway in mixed urban environment. Step 8 – The sidewalk is unobstructed with standard street trees and a hydrant placed close to the wall, leaving clear passage; lighting appears adequate and no vehicles or objects intrude onto the walkway, so no particular anomaly or elevated risk is evident aside from normal nighttime urban conditions.</t>
  </si>
  <si>
    <t>Geolocation is low-confidence; scene could be in any urban area with asphalt and brick edging. Risk is moderate for inattentive or mobility-impaired pedestrians at night but not an immediate severe hazard.</t>
  </si>
  <si>
    <t>Geolocation inference is low-confidence; road markings and urban style are consistent with a modern, possibly Mediterranean or Middle Eastern city. Lighting and infrastructure appear standard and in good condition; primary concern is minor slip risk from the wet patch on the sidewalk.</t>
  </si>
  <si>
    <t>Geolocation confidence is low; the scene appears to be an urban environment with brick sidewalks and curb paint, possibly in a Mediterranean or Middle Eastern city, but this does not significantly affect risk interpretation. No moving traffic or pedestrians are visible in this frame, so dynamic risks are limited.</t>
  </si>
  <si>
    <t>Geolocation context: likely an urban area in a temperate region; confidence low. Risk score reflects nighttime conditions and the abrupt, poorly marked change in sidewalk level, which is particularly hazardous for older adults, people with mobility impairments, or those moving quickly.</t>
  </si>
  <si>
    <t>Step 1 – Geolocation &amp; Context: The bus and signage in the distance appear to use a script resembling Hebrew, and the urban landscaping and climate suggest a Mediterranean city, likely in Israel; confidence is medium. Scene appears to be a well-lit pedestrian or mixed-use path running parallel to a roadway with vehicle traffic separated by vegetation. No clear hazards such as vehicles encroaching on the path, obstructed walkways, or environmental dangers are visible. Nighttime conditions imply routine, manageable risk but nothing abnormal within the frame.</t>
  </si>
  <si>
    <t>Step 1 – Likely geographic context is an urban area in Israel or a nearby region (medium confidence), inferred from the yellow license plate format and Mediterranean-style street trees and buildings. Scene type: sidewalk/pedestrian zone adjacent to roadway in a mixed urban residential/commercial environment. Lighting is adequate and sidewalk appears unobstructed and in good condition; no obvious traffic, human, or environmental anomalies are visible.</t>
  </si>
  <si>
    <t>No pedestrians or vehicles are close to interacting in this frame; main concern is static sidewalk design creating a partial obstruction.</t>
  </si>
  <si>
    <t>Geolocation inference: likely Mediterranean or Middle Eastern urban residential area (medium confidence) based on building style, vehicles, and street design; risk severity assessed for a low-speed residential street where such green-waste piles are not expected to protrude significantly into the roadway.</t>
  </si>
  <si>
    <t>Geolocation context: likely urban or suburban area in a temperate region; precise country is uncertain (low-confidence). The primary concern is pedestrian footing on a wet surface in low light.</t>
  </si>
  <si>
    <t>Geolocation/context: likely an urban or suburban area with paved sidewalks and hedges, possibly in a temperate or Mediterranean region; assessment low-confidence. Nighttime lighting further increases the effective risk from the unmarked obstruction.</t>
  </si>
  <si>
    <t>Geolocation context: likely an urban residential area in a European or Mediterranean city (medium-confidence) based on building style, signage, and sidewalk paving. Risk is moderate because the obstruction is sizeable, on a main walking line, and it is night, but traffic exposure is limited and pedestrians can divert around it.</t>
  </si>
  <si>
    <t>Step 1 – Geolocation &amp; Context: The environment appears to be a Mediterranean or Middle Eastern urban neighborhood (low to medium confidence), inferred from building style, street layout, signage style, and parked cars, but exact country is uncertain. Nighttime lighting reduces visibility, which modestly increases the impact of otherwise minor roadway debris.</t>
  </si>
  <si>
    <t>Geolocation context is low-confidence; the red-and-white curb pattern and streetscape suggest a dense urban area, possibly Mediterranean or Middle Eastern, but this does not materially change the sidewalk obstruction assessment.</t>
  </si>
  <si>
    <t>Geolocation low-confidence; appears to be a generic urban area with standard passenger cars and hedged property line. Dominant risk is pedestrian obstruction and tripping on bulky waste and a sidewalk-parked vehicle during nighttime conditions.</t>
  </si>
  <si>
    <t>Geolocation/context inference: medium-confidence that this is a Mediterranean or European urban area based on architecture, vehicle styles, and brick sidewalk. Nighttime lighting further elevates pedestrian trip risk from the sidewalk obstruction.</t>
  </si>
  <si>
    <t>Step 1 – Geolocation &amp; Context: Likely a Mediterranean or European urban park or campus area (medium-confidence) based on vegetation (palm-like plant, shrubs), paving style, and signage. Nighttime with adequate artificial lighting and clearly defined pedestrian space. No visible vehicles, people, or immediately hazardous conditions. Barriers at the end of the path appear intentional to block access rather than anomalous. Debris on path is minor and typical for an outdoor tree-lined path; it does not rise to a significant safety anomaly in this context.</t>
  </si>
  <si>
    <t>No clear anomalies or abnormal safety risks are visible. Vehicles appear to be on the roadway near an intersection, and the sidewalk is unobstructed.</t>
  </si>
  <si>
    <t>Geolocation/context assessment: medium-confidence that this is a residential or mixed urban area in a temperate or Mediterranean region based on car styles, paving, and vegetation. Main concern is pedestrian safety due to complete blockage of the sidewalk by both a parked car and large trash items at night.</t>
  </si>
  <si>
    <t>Geolocation and cultural context are uncertain (low-confidence); this appears to be a generic urban sidewalk in a temperate or subtropical area. Risk assessment focuses on typical urban pedestrian conditions at night.</t>
  </si>
  <si>
    <t>Step 1 – Geolocation &amp; Context: The scene appears to be in a temperate to warm-climate urban area with brick-paved sidewalk, concrete wall, and typical compact vehicles. Lighting, road, and sidewalk design are consistent with many European or Mediterranean cities, but exact country cannot be determined; confidence is low. Step 2 – Scene Type: This is primarily a sidewalk/pedestrian zone adjacent to a roadway within a mixed urban residential/commercial corridor. Step 3 – Scene Description: Nighttime, well-lit street with normal traffic, a clear sidewalk, trees, and a manhole cover flush with the pavement. Step 5 – Anomaly Detection: No clear anomalies or abnormal risks are visible. The manhole cover appears level with the paving and does not show obvious damage or protrusion; vegetation and trees do not significantly obstruct the path. Traffic is separated from pedestrians by curb and parked cars. Thus no specific anomaly is identified given the limited single-frame context.</t>
  </si>
  <si>
    <t>Location context: medium-confidence urban environment, likely in a Mediterranean or Middle Eastern city inferred from curb coloring, vegetation, and intersection design. Risks are typical of nighttime crossings in busy urban streets rather than highly unusual anomalies.</t>
  </si>
  <si>
    <t>Step 1 – Geolocation &amp; Context: Likely a modern urban or suburban area in a temperate or warm-climate region (medium-confidence) based on tree types, hedges, and brick/asphalt pedestrian infrastructure. No visible traffic lane markings suggest this is a pedestrian or cycle path beside a parked-vehicle bay. Step 2 – Scene Type: Sidewalk/pedestrian zone in a mixed urban or residential setting. Step 5 – Anomaly Detection: Lighting appears adequate, surfaces are mostly even, and there are no visible obstructions, flooding, or unsafe behaviors. The faint surface cracks on the asphalt are minor and typical wear, not currently constituting an abnormal risk.</t>
  </si>
  <si>
    <t>Geographic context is uncertain but appears to be a Mediterranean or European-style urban area at night based on building style, brick sidewalk, and vehicles. Assessment focuses on the clear physical obstruction on the pedestrian path.</t>
  </si>
  <si>
    <t>Step 1 – Geolocation &amp; context: Likely a Mediterranean or European urban area based on building style, stone wall, and parked cars; confidence low to medium and not safety-critical. Evening or early night with active street lighting and a clear, unobstructed sidewalk. No visible traffic encroachment, obstacles, or hazardous behaviors; environment appears typical and safe for pedestrians under normal conditions.</t>
  </si>
  <si>
    <t>Step 1 – Geolocation &amp; context: Hebrew signage and yellow license plates suggest Israel, likely a dense urban area; confidence medium. Lighting, lane use, and parking appear normal for a city street at night. No visible pedestrians, obstructions, or traffic violations; cars seem properly parked adjacent to the curb, and the sidewalk is unobstructed. Hence, no specific anomaly or elevated safety risk can be inferred from this single frame.</t>
  </si>
  <si>
    <t>No pedestrians, vehicles are confined to the road, sidewalk is unobstructed and appears well-lit for nighttime conditions. No visible environmental or infrastructure hazards.</t>
  </si>
  <si>
    <t>Step 1 – Likely a medium-density urban area, possibly Southern Europe or Latin America, inferred from architecture, brick sidewalk, and vehicle types; confidence medium. The key risk is nighttime pedestrian movement around the obstructed sidewalk, especially near an intersection.</t>
  </si>
  <si>
    <t>Geolocation context is low- to medium-confidence: appears to be a Mediterranean or Middle Eastern urban environment based on vegetation, curb coloring, and building style, but no clear language markers are visible. Scene type: roadway/traffic with pedestrian crossing in a mixed urban area at night.</t>
  </si>
  <si>
    <t>Step 1 – Geolocation &amp; context: The bus and some signage in the far background appear to use a script consistent with Hebrew, suggesting an Israeli urban or suburban environment; confidence is medium due to distance and limited legibility. Nighttime conditions with adequate street lighting and no visible pedestrians, vehicles, or obstacles encroaching on the path. Paths and sidewalks appear in good condition without obvious tripping hazards or traffic conflicts. No anomaly or abnormal risk detected in this scene beyond routine nighttime environmental risks common to such settings.</t>
  </si>
  <si>
    <t>Geolocation inference: likely a Mediterranean/West Asian urban residential area (possibly Israel) based on Hebrew text on the box, curb paint style, and architecture; confidence medium. The primary concern is pedestrian safety due to sidewalk obstruction and forced detours near moving traffic at low light.</t>
  </si>
  <si>
    <t>Geolocation is uncertain; scene resembles an urban or suburban sidewalk in a temperate region. Assessment is low-confidence for location, but sidewalk-use norms are typical of many urban environments.</t>
  </si>
  <si>
    <t>Step 1 – Likely a modern urban residential area in a warm-climate region (possibly Mediterranean or Middle Eastern) inferred from palm trees, building style, and curb markings; confidence: low to medium. Step 2 – Scene type: sidewalk/pedestrian zone adjacent to a residential street. Step 3 – The sidewalk appears unobstructed, well lit, and level, with no pedestrians, vehicles in motion, or visible hazards. Step 5 – No clear anomalies or abnormal risks are visible; curb markings may indicate restricted parking, but that is a regulatory issue and not an immediate safety hazard.</t>
  </si>
  <si>
    <t>Geolocation confidence: low to medium. Scene appears to be a European-style urban street based on paving, curb design, and vehicles, but no clear language or signage is visible. Risk rating assumes standard urban traffic norms where vehicles are prohibited from driving on sidewalks.</t>
  </si>
  <si>
    <t>Geolocation inference (low confidence): urban street in a temperate climate, likely in a region where brick sidewalks and such vehicles are common; precise country cannot be determined. Main concern is pedestrian safety due to the obstructed sidewalk rather than vehicle conflict, as vehicles appear to be operating normally.</t>
  </si>
  <si>
    <t>Step 1 – Location context: Likely an urban European setting (medium-confidence) inferred from brick sidewalk, light-colored road surface, and common European-style vehicles. No visible pedestrians, and vehicles appear properly on the roadway near a standard intersection. No clear traffic or environmental anomalies can be identified from this single frame.</t>
  </si>
  <si>
    <t>Step 1 – Geolocation &amp; context: The scene appears to be a modern urban area with right-hand traffic, possibly in a Mediterranean or Middle Eastern city, inferred from vegetation, car types, and street layout; confidence low-to-medium. Streets are well-lit and infrastructure appears orderly, with clear separation between roadway and pedestrian paths. No obvious safety anomalies or abnormal behaviors are visible in this single frame.</t>
  </si>
  <si>
    <t>Location context: likely a Mediterranean or European urban area based on street layout, vegetation, and vehicles (low-confidence estimate). Scene is well-lit with no pedestrians, vehicles are properly parked, and no obvious hazards such as obstacles, damage, or flooding are visible. Nighttime conditions inherently reduce visibility, but infrastructure lighting appears adequate and no specific anomalous risk stands out in this frame.</t>
  </si>
  <si>
    <t>Step 1 – Geolocation &amp; Context: Likely a modern urban area in a temperate or Mediterranean climate, inferred from street design, paving blocks, planted trees, and stone wall; confidence low to medium. Infrastructure appears orderly and well-maintained, with dedicated sidewalk, roadside barrier, and functional lighting. Step 2 – Scene Type: Sidewalk/pedestrian zone adjacent to roadway in a mixed urban environment. Step 5 – No visible anomalies: no pedestrians in immediate conflict with vehicles, no obstructions, damage, standing water, or exposed hazards are evident. Lighting is adequate for night-time use, and separation from traffic reduces risk. Thus no specific abnormal risks are identified in this single frame.</t>
  </si>
  <si>
    <t>Geolocation inference: signage appears to include Hebrew and English, suggesting an Israeli urban residential street (medium-confidence). The main safety concern is pedestrian accessibility and collision risk from the obstructing vegetation.</t>
  </si>
  <si>
    <t>No pedestrians, vehicles in motion, or clear obstructions are visible; the darker ground patch could be a stain or wet area but does not appear to significantly obstruct passage or create an obvious hazard from this single frame.</t>
  </si>
  <si>
    <t>Geolocation is low-confidence; it appears to be an urban area in a region that uses curb paint and brick sidewalks common in many cities. Risk level assumes typical pedestrian and traffic behavior at night.</t>
  </si>
  <si>
    <t>Geolocation context is low- to medium-confidence: urban area with right-hand traffic, likely in a region where sidewalk parking is generally discouraged or regulated. Main safety concern is pedestrian access and nighttime visibility around the obstructed path.</t>
  </si>
  <si>
    <t>Step 1 – Geolocation &amp; Context: The scene shows a modern, landscaped urban area at night with a paved sidewalk, adjacent path, and a lit roadway with ornamental green lighting on vegetation. The architecture (high-rise in distance), vegetation type, and road layout are consistent with many warm-climate cities; no signage or strong cultural markers are visible. Location assessment: low-confidence; assumed generic urban environment in a city with developed pedestrian infrastructure. Step 2 – Scene Type: This is primarily a sidewalk/pedestrian zone and roadway/traffic environment within a mixed urban/residential or commercial area. Step 3 – Scene Description: Long, straight sidewalk and parallel paved surface under streetlights, with landscaped greenery and a lightly trafficked road on the left; no pedestrians, cyclists, or obvious hazards are visible. Step 4 – Objects: Key objects are sidewalks/paths, roadway, one distant vehicle, vegetation, streetlights, and a distant building. Step 5 – Anomaly Detection: No unusual behaviors, damaged infrastructure, flooding, vehicles encroaching on pedestrian space, or other deviations from typical urban nighttime conditions are apparent. Lighting appears adequate along the visible section. Therefore, no specific anomalies or abnormal risks are identified. Step 8 – Reasoning: Given the absence of pedestrians and the separation between road and walkway via landscaping and curbs, immediate conflict risks are low. The environment appears orderly and maintained, with no visible obstructions or hazards on the walking surface. Step 9 – Overall Safety Impact: The scene appears generally safe with no clearly identifiable active or potential hazards beyond normal urban nighttime conditions.</t>
  </si>
  <si>
    <t>No pedestrians, vehicles in motion, or obvious obstructions are visible on the walking path in this frame; environment appears to be a typical urban sidewalk at night.</t>
  </si>
  <si>
    <t>Likely a well-maintained urban street in a temperate or Mediterranean city at night; sidewalks and roadway appear orderly with functioning lighting and no evident hazards or abnormal behaviors.</t>
  </si>
  <si>
    <t>Geolocation context is low- to medium-confidence: urban area, likely in a temperate or Mediterranean city based on architecture and vegetation; standard urban traffic expectations apply. No immediate anomalies detected on the roadway itself, but the sidewalk obstruction presents a moderate nighttime hazard.</t>
  </si>
  <si>
    <t>Step 1 – Geolocation &amp; context: The scene appears to be a modern urban or suburban street in a warm-climate region (e.g., Mediterranean or similar) based on palm trees, landscaping, and building style. No signage language is clearly visible, so geographic inference is low-confidence. Step 2 – Scene type: This is primarily a sidewalk/pedestrian zone and adjacent roadway within a mixed urban residential/commercial area. Step 3 – No pedestrians are visible on the path, the road traffic seems orderly with a visible red light, and there are no vehicles encroaching on the pedestrian space. Lighting appears adequate, and the minor surface cracks on the path are typical wear without clear tripping hazards evident from this distance. Therefore, no specific anomaly or abnormal risk is detected in this frame.</t>
  </si>
  <si>
    <t>Geolocation/context inference: medium-confidence guess of an Eastern Mediterranean / Middle Eastern urban residential area (e.g., Hebrew-like script on signs, right-hand traffic, architecture). No moving vehicles or pedestrians are visible, so risks are potential rather than immediate.</t>
  </si>
  <si>
    <t>Geolocation is uncertain (low confidence); scene is a typical urban sidewalk, possibly in a temperate or Mediterranean city. Risk is heightened by nighttime lighting and shadows obscuring the damaged area.</t>
  </si>
  <si>
    <t>Geolocation context: license plate style, building architecture, and street furniture suggest a Mediterranean/European urban area, possibly Israel; confidence medium. No moving vehicles are visible, which likely reduces immediate danger but does not eliminate the inherent risk of disobeying the signal.</t>
  </si>
  <si>
    <t>Step 1 – Geolocation &amp; Context: Likely a modern urban or suburban area in a temperate or Mediterranean climate, possibly in Europe or the Middle East, inferred from car types, landscaping, and street design. Confidence: low to medium, as there are no clear language signs or unique markers. Step 2 – Scene Type: Roadway/traffic environment alongside a well-defined sidewalk within a mixed urban or residential corridor. Step 3 – Scene Description: The environment appears orderly, with clear separation between pedestrians and vehicles, adequate night lighting, and no pedestrians present. Step 4/5 – Objects &amp; Anomalies: No significant anomalies or acute safety hazards are visible. The small debris on the sidewalk is minor and unlikely to pose more than a negligible tripping risk under normal conditions. Therefore, no explicit anomaly entry is recorded and overall risk is assessed as safe at this moment.</t>
  </si>
  <si>
    <t>Geolocation and cultural context are uncertain but suggest a modern urban environment, likely in a temperate or Mediterranean city, at night. Traffic appears orderly and no immediate vehicular dangers are visible; the main concern is the leaning tree partially obstructing the sidewalk.</t>
  </si>
  <si>
    <t>Step 1 – Geolocation &amp; Context: Likely a modern urban area, possibly in a temperate or Mediterranean city, inferred from brick sidewalk, street trees, hydrant design, and car style. Confidence is low because there are no clear textual signs or unique architectural markers. Step 2 – Scene Type: Sidewalk/pedestrian zone adjacent to a roadway in a mixed urban environment. Step 3 &amp; 4 – Description &amp; Objects: Image shows a well-maintained, wide sidewalk at night with damp-looking pavers, alongside a lit roadway with one visible moving car, standard street infrastructure (trees, hydrant, railings), and landscaping. Step 5 – Anomaly Detection: No obvious hazards such as damaged pavement, encroaching vehicles on the sidewalk, pedestrians in danger, flooding, or exposed infrastructure. The pavement appears wet or recently washed, but there is no pooling water or visible slipping hazard beyond usual wet-surface conditions. Step 6 – Risk: Normal nighttime urban conditions with lighting and separation between vehicles and pedestrians; no specific anomaly to score. Overall the situation appears safe and orderly for both pedestrians and drivers, assuming normal caution for nighttime and possibly wet surfaces.</t>
  </si>
  <si>
    <t>Likely an urban environment in a temperate or Mediterranean city; assessment is medium-confidence based on street design and vegetation. Main concern is chronic pedestrian safety due to the tree obstructing part of the walkway, particularly in low light.</t>
  </si>
  <si>
    <t>Geolocation/context: medium-confidence inference of a Mediterranean/European or Middle Eastern urban residential street based on architecture, license plate style, and vegetation; risk judgment assumes standard urban traffic laws with red meaning stop for pedestrians.</t>
  </si>
  <si>
    <t>Language on the illuminated sign appears non-Latin and may suggest a Middle Eastern or Mediterranean urban area; this is a low-confidence inference and does not materially affect the risk assessment. No obvious infrastructure damage or traffic violations are visible.</t>
  </si>
  <si>
    <t>Geolocation confidence is low; typical urban sidewalk with brick paving and parked vehicle suggests a generic urban setting in a temperate or warm climate. No moving traffic or people visible, so immediate risk is limited to potential pedestrian movement through the area.</t>
  </si>
  <si>
    <t>Geolocation/context inference: likely a Mediterranean or Middle Eastern urban residential area (e.g., Israel) based on the architecture, trees, vehicle styles, and yellow license plates; confidence medium. Main concern is temporary debris from pruning not being properly contained or signed, especially under low-light conditions.</t>
  </si>
  <si>
    <t>No clear anomalies or unusual safety hazards are visible; the stains or wet patches on the sidewalk appear minor and do not obviously constitute a significant slip hazard from this view.</t>
  </si>
  <si>
    <t>Geolocation confidence is low; scene appears to be a typical urban street in a temperate or Mediterranean city based on cars, buildings, and paving. Night conditions slightly elevate risk due to reduced visibility of the obstruction.</t>
  </si>
  <si>
    <t>Geolocation is uncertain but suggests an urban area with European-style curb painting and vehicles; assessment is based purely on visible sidewalk obstruction and nighttime conditions.</t>
  </si>
  <si>
    <t>Geolocation context low-confidence; appears to be an urban area with brick sidewalks and curbside parking or traffic. Primary concern is obstruction of pedestrian circulation rather than immediate vehicular danger.</t>
  </si>
  <si>
    <t>Location context: urban street in a region using red-white curb markings and yellow license plates (possibly Mediterranean/Middle Eastern). No obvious hazards beyond normal nighttime urban walking conditions are visible in this single frame.</t>
  </si>
  <si>
    <t>Step 1 – Geolocation &amp; Context: The scene appears to be an urban or suburban roadway at night, likely in a Mediterranean or Middle Eastern city based on vegetation, curb style, and street design; confidence is low to medium. No pedestrians, animals, or unusual obstacles are present on the sidewalk or road. Lighting appears adequate, vehicles are in their lane, and infrastructure such as the fire hydrant and curb are standard. No anomaly or abnormal risk detected in this scene beyond normal nighttime urban driving and walking conditions.</t>
  </si>
  <si>
    <t>Step 1 – Geolocation &amp; Context: The scene appears to be an urban or suburban area in a temperate to warm climate, indicated by the tree species and landscaping style, with modern brick paving and standard traffic lights. No clear signage or language is visible to narrow country; confidence is low. Step 2 – Scene Type: Primarily a sidewalk/pedestrian zone adjacent to a roadway in a mixed urban environment. Step 3 – Description: A clean, unobstructed brick sidewalk under trees at night, with vegetation on both sides and a road with traffic signals to the left. Step 4 – Objects: Sidewalk, road, trees, vegetation, traffic lights, and street lighting identified as infrastructure elements. Step 5 – Anomaly Detection: No obvious anomalies—no pedestrians, vehicles on sidewalk, damage, debris, flooding, or exposed hazards are visible. Lighting appears adequate for night conditions, and the path is clear. Step 6 – Risk Assessment: With no specific abnormality observed, no discrete risks are scored. Step 7 – Spatial Localization: Not applicable since no anomalies were detected. Step 8 – Reasoning: The infrastructure is orderly and well-maintained; the absence of people, vehicles, or hazards results in no identifiable abnormal risk beyond general nighttime urban conditions, which are not visibly represented here. Step 9 – Overall Safety Impact: Scene appears safe and orderly with no immediate or abnormal risks detected.</t>
  </si>
  <si>
    <t>Step 1 – Likely an urban area in a warm or Mediterranean climate based on vegetation, stone wall, and street design; confidence low to medium. Scene type is sidewalk/pedestrian zone with adjacent roadway in a mixed urban environment. Lighting is good, walking surface appears even, and there are no visible pedestrians, vehicles close by, obstacles, or infrastructure damage. No anomalies or abnormal safety risks are evident in this single nighttime frame.</t>
  </si>
  <si>
    <t>Step 1 – Geolocation &amp; context: The scene appears to be an urban or suburban street in a temperate or Mediterranean city, possibly in Europe or the Middle East, inferred from street design, vegetation, and traffic light style. Confidence: low-to-medium; no clear signage language is visible. Step 2 – Scene type: roadway/traffic environment adjacent to a sidewalk/pedestrian zone within a mixed urban residential context. Step 3–8 – No obvious anomalies: The sidewalk is unobstructed and appears in good condition; lighting is adequate; vehicles are properly on the roadway; no pedestrians, animals, construction, or environmental hazards are visible. Nighttime conditions inherently require caution, but nothing in the frame deviates from normal expectations for such an environment.</t>
  </si>
  <si>
    <t>Geolocation confidence is low; scene appears to be an urban area with standard passenger cars and brick-paved sidewalk, likely in a temperate region. Risk rating assumes moderate pedestrian volume and typical urban traffic; at busier times, the obstruction would pose higher risk.</t>
  </si>
  <si>
    <t>Location context likely an urban area in a country using red-white curb markings, but no clear safety anomalies visible; sidewalk appears unobstructed and roadway use appears normal.</t>
  </si>
  <si>
    <t>Step 1 – Geolocation &amp; context: The brick sidewalk, curb paint, and license plate style suggest a Mediterranean or European urban area, possibly Middle Eastern/Israeli, but this is low-confidence. Step 2 – Scene type: sidewalk/pedestrian zone alongside an urban roadway at night. Step 5 – No clear anomalies; pavement patches and utility boxes are typical in such environments and do not appear severely damaged or obstructive from this single frame. Nighttime visibility is a general background risk but not an anomaly in itself here.</t>
  </si>
  <si>
    <t>Step 1 – Geolocation &amp; Context Assessment: The scene appears to be an urban area in a possibly Mediterranean or Middle Eastern city, inferred from the paving style, vegetation, and vehicle types, but confidence is low. Assumed norms: sidewalks are expected to be passable and not used for bulky waste storage or vehicle parking. Step 2 – Scene Type: Sidewalk/pedestrian zone adjacent to a roadway in a mixed urban residential/traffic environment. The main safety issue is the forced diversion of pedestrians into the street due to the blocked sidewalk.</t>
  </si>
  <si>
    <t>Step 1 – Context: Likely an urban street in a temperate or Mediterranean city (paved sidewalk, tree-lined road, mid-rise buildings). No clear textual signage to refine location, so this is low- to medium-confidence. Step 2 – Scene type: sidewalk/pedestrian zone adjacent to roadway in a mixed urban environment at night. Step 3/5 – No evident hazards such as damaged pavement, obstructing objects, exposed cables, or unsafe crowding are visible. Lighting appears adequate for nighttime; the sidewalk is clear and separated from the road by a curb and some trees/railings. Consequently, no specific anomalies or abnormal risks are detected in this frame beyond normal nighttime urban conditions.</t>
  </si>
  <si>
    <t>Step 1 – Geolocation &amp; Context: The scene appears to be a modern urban residential area, likely in a Mediterranean or Middle Eastern city (medium confidence). Indicators: palm trees, vegetation typical of warm climates, brick-pattern sidewalk, and curb painted red-and-white with yellow license plates. Could plausibly be in Israel or a similar region, but this is not certain. Nighttime illumination is adequate and infrastructure looks well maintained. Step 2 – Scene Type: Roadway/traffic environment adjacent to a sidewalk in a residential urban context. Step 3 – Scene Description: No pedestrians, cyclists, or moving vehicles are visible, and the sidewalk is unobstructed. Lighting from streetlamps provides good visibility. There are no evident surface defects, debris, or construction hazards. Step 5 – Anomaly Detection: No abnormal behaviors, obstructions, or environmental hazards are apparent. Parked vehicles are in usual positions along the curb, and the sidewalk is free for pedestrian use. Therefore no specific anomalies or elevated safety risks are identified beyond ordinary background risk for a nighttime street.</t>
  </si>
  <si>
    <t>Location context: likely a Mediterranean or Southern European urban residential street (low-confidence) inferred from architecture, stone wall, and vegetation. No visible trip hazards, crowding, or vehicle encroachment onto the sidewalk; scene appears typical and low-risk for an evening pedestrian environment.</t>
  </si>
  <si>
    <t>Location context is low-confidence; scene appears to be a typical urban sidewalk in a temperate or subtropical city at night. Regardless of country, an uneven, broken pedestrian surface like this is a moderate trip hazard, especially under low lighting.</t>
  </si>
  <si>
    <t>No clear safety anomalies are visible: the pedestrian is on a proper sidewalk, vehicles appear parked, and there are no obvious obstacles, damage, or hazardous behaviors in this single frame.</t>
  </si>
  <si>
    <t>Geographic context likely an Israeli urban area (Hebrew warning signs, building style); confidence medium. Risks primarily affect pedestrians using the sidewalk at night.</t>
  </si>
  <si>
    <t>Step 1 – Geolocation &amp; Context: The red-and-white curb markings, brick sidewalk, and style of parked car suggest a dense urban area, possibly in the Mediterranean or Middle East, but this is low-confidence and not critical to safety assessment. Step 2 &amp; 3 – Scene Type &amp; Description: This is a nighttime urban sidewalk adjacent to a street with normal infrastructure; lighting appears adequate though not directly visible. Step 4 – Objects: Key safety-relevant elements are the sidewalk, curb, roadway, parked car, bollard, and a distant pedestrian. Step 5 – Anomaly Detection: No clear anomalies such as damaged pavement, obstacles, or vehicles encroaching on the sidewalk are evident in this frame. The walking path appears reasonably clear and level. Step 6 – Risk: With no discrete anomalies, residual risk is typical of nighttime urban walking but nothing stands out as abnormal in this single frame. Overall the situation appears safe and routine for pedestrians and drivers given what is visible.</t>
  </si>
  <si>
    <t>Step 1 – Likely an urban area in a temperate region, possibly Europe or the Middle East, inferred from the brick sidewalk, curb design, and parked vehicles; confidence is low to medium. Primary scene types: sidewalk/pedestrian zone adjacent to roadway in a mixed urban environment. The dominant risk is the obstruction of the pedestrian path by large boxes; no immediate vehicle-pedestrian interaction is visible, but nighttime conditions increase hazard for walkers.</t>
  </si>
  <si>
    <t>Geolocation inference: license plate color and script suggest this is likely in Israel (medium confidence). The main concern is pedestrian accessibility and nighttime visibility rather than imminent collision risk.</t>
  </si>
  <si>
    <t>No clear safety anomalies visible in this single frame; surface stains could be mildly slippery if wet but cannot be confirmed as an active hazard from the image alone.</t>
  </si>
  <si>
    <t>Geolocation is uncertain; street design, crosswalk style, and roadside trees suggest a modern urban area, possibly Mediterranean or European, but this does not strongly affect risk interpretation. Assessment is medium-confidence based on visible light phases and pedestrian positions.</t>
  </si>
  <si>
    <t>Step 1 – Geolocation &amp; context: The scene appears to be a European-style urban or suburban street (brick sidewalk, curb style, vehicle types, compact hatchbacks, and vans). No clear signage language is visible, so this is a low- to medium-confidence inference. Nighttime or dusk lighting. Step 2 – Scene type: roadway/traffic environment plus sidewalk/pedestrian zone in a residential or mixed-urban context. Step 5 – Anomaly detection: No visible pedestrians, no vehicles obviously encroaching on the sidewalk, no apparent wrong-way driving, collisions, or major infrastructure damage. The storm drain, curb, and wall all appear intact. Street surface seems slightly dirty but not obstructed. Hence, no specific anomalies or abnormal risks can be reliably identified from this single frame.</t>
  </si>
  <si>
    <t>Geolocation is uncertain; appears to be a medium-density urban area in a temperate or Mediterranean-like climate based on building style, vegetation, and vehicles. Risk is mainly to pedestrians due to nighttime visibility and obstruction of the normal walking route.</t>
  </si>
  <si>
    <t>Location context: likely a modern urban area in a temperate climate, possibly Mediterranean or European, inferred from building style, road markings, and vegetation; confidence low to medium. The scene shows standard night-time conditions with functional lighting, separated sidewalk and roadway, and no visible pedestrians or immediate hazards. No anomalies or abnormal risks can be identified from this single frame.</t>
  </si>
  <si>
    <t>Step 1 – Context: Likely an urban residential or mixed-use area in a temperate or Mediterranean city, based on stone wall, sidewalk paving style, parked cars, and vegetation. Confidence: low-to-medium; no explicit language or signage is visible. Evening or early night lighting but no visible hazards such as obstructions, damaged pavement, vehicles encroaching onto the sidewalk, or crowding. Scene appears typical and safe for a pedestrian environment.</t>
  </si>
  <si>
    <t>Geolocation context is low-confidence; appears to be a generic urban environment with European-style vehicles and paving, but nothing conclusive. Risk is evaluated assuming typical urban regulations where sidewalks are pedestrian-only space.</t>
  </si>
  <si>
    <t>Step 1 – Likely a modern urban area in a warm or Mediterranean climate (medium-confidence) based on vegetation, building style, and traffic infrastructure; no signage language is clearly readable. Step 2 – Scene type: roadway/traffic environment plus sidewalk/pedestrian zone in a mixed urban residential setting. Step 3 – The area appears well-lit with clear separation between pedestrians and vehicles and no visible pedestrians, obstacles, or environmental hazards on the path. Step 4 – Objects listed above capture the main elements relevant to safety. Step 5 – No clear anomalies: lighting is adequate, no vehicles encroaching on the sidewalk, no debris, flooding, or exposed infrastructure. Step 6 – With no specific anomalies identified, no targeted risk groups are highlighted. Step 7 – Spatial localization of anomalies is not applicable. Step 8 – Reasoning: the scene follows typical urban design norms, with normal nighttime traffic and no evident deviations such as damaged sidewalks, obstructed paths, or unsafe crowding. Step 9 – Overall, the environment appears safe for both pedestrians and drivers under normal caution for nighttime conditions.</t>
  </si>
  <si>
    <t>Step 1 – Likely a temperate or Mediterranean urban area (e.g., Southern Europe / Middle East) inferred from brick sidewalk, tree types, and bus stop design; confidence low to medium. Step 2 – Scene type: sidewalk / pedestrian zone, roadway/traffic environment, and mixed urban. Lighting appears adequate, no visible damage or obstructions on the walking path aside from a normally placed tree; no vehicles or pedestrians present, so no immediate safety anomalies detected.</t>
  </si>
  <si>
    <t>Geolocation context: yellow license plates with black digits and Hebrew-style numerals suggest an urban street likely in Israel (medium confidence). This is a typical residential/mixed urban area at night, where clear sidewalks are normally expected for safe pedestrian movement.</t>
  </si>
  <si>
    <t>No clear safety anomaly is visible. The parked car appears within a designated roadside area despite being close to the sidewalk edge, and the sidewalk itself is mostly unobstructed. Traffic on the adjacent road seems normal for an urban evening setting.</t>
  </si>
  <si>
    <t>Geolocation inference: Medium confidence that this is an urban street in Israel, based on Hebrew/English labeling on the cardboard box and yellow license plate style. Nighttime conditions and cluttered sidewalk increase pedestrian risks, particularly for those with mobility or vision impairments.</t>
  </si>
  <si>
    <t>Geolocation context: Hebrew and Arabic text on signs and architecture suggest an urban street in Israel or a nearby region (medium-confidence). Nighttime lighting conditions further exacerbate the pedestrian risks from the sidewalk obstruction and proximity to electrical infrastructure.</t>
  </si>
  <si>
    <t>Geolocation inference: medium confidence that this is an Eastern Mediterranean / Israeli residential street, based on the sidewalk/curb paint style, signage, and flag. Scene appears otherwise orderly with normal parking; primary issue is loose items on the road at night near a crosswalk.</t>
  </si>
  <si>
    <t>Step 1 context: License plate style and signage language suggest an urban area in Israel (medium confidence). Nighttime lighting and urban density make sidewalk obstruction more consequential for pedestrian safety, though no immediate traffic conflict is visible.</t>
  </si>
  <si>
    <t>Geolocation inference: license plate format and sign style suggest an urban area in Israel (medium-confidence). The pedestrian crossing sign nearby emphasizes that this should be a pedestrian-priority sidewalk, making the sidewalk-blocking vehicle a more notable safety issue.</t>
  </si>
  <si>
    <t>The scooter appears properly parked within a clearly marked bay on a paved area away from the main pedestrian path or roadway. No visible hazards, obstructions, or unusual behaviors are evident in this nighttime park-side environment.</t>
  </si>
  <si>
    <t>Step 1 – Location inference: Likely a Mediterranean/European or Middle Eastern urban area, suggested by vehicle styles, street trees, and building facade; confidence low to medium. Traffic appears orderly in the correct lane, sidewalk is unobstructed and adequately lit. No clear trip hazards or blocked pathways beyond normal urban features like a flush manhole cover. No anomaly or abnormal risk detected in this scene.</t>
  </si>
  <si>
    <t>Step 1 – Geolocation &amp; context: Likely a Mediterranean or Middle Eastern urban residential area (medium-confidence) based on vehicle styles, paving, and hedged wall; standard expectation is that sidewalks remain passable. Night/dusk lighting further elevates risk since obstacles are harder to see.</t>
  </si>
  <si>
    <t>Step 1 – Geolocation &amp; Context: Likely in a modern urban area, possibly Europe or the Middle East, inferred from the paving style, scooter-sharing infrastructure, and landscaping. Confidence: low to medium; no explicit language or signage. Step 2 – Scene Type: Sidewalk/pedestrian zone within a mixed urban/park-like setting. Step 3 – Description: The scooter is correctly positioned within a marked scooter parking box; there are no visible vehicles or pedestrians. Step 4 – Objects listed above. Step 5 – Anomaly Detection: No clear anomaly—scooter is upright in a designated space, not blocking a path, and no immediate hazards like traffic, water, or structural damage are visible. Lighting appears adequate for nighttime. Step 6 – Risk: With no evident misuse or obstruction, residual risk is normal background level for such an environment. Step 7 – Spatial localization not needed due to no anomalies. Step 8 – Reasoning: The marked scooter symbol on the pavement indicates intended parking, and the scooter matches it; paths remain clear. Step 9 – Overall, the scene appears safe with no abnormal risks detected.</t>
  </si>
  <si>
    <t>Geographic context is low- to medium-confidence; it appears to be a temperate urban area with brick sidewalks and standard crosswalks. The main safety concern arises from nighttime visibility combined with the sidewalk obstruction.</t>
  </si>
  <si>
    <t>Likely a Southern European or Mediterranean urban area (medium-confidence) based on building style, sidewalk paving, and vehicles. Nighttime conditions further reduce visibility, slightly elevating the obstruction risk.</t>
  </si>
  <si>
    <t>Location context: medium-confidence inference of a modern urban area, possibly Mediterranean or European/Middle Eastern, based on paving style, vegetation, and vehicle types. Sidewalk is unobstructed, well-lit, and separated from moving traffic by parked cars, with no evident unsafe behavior or infrastructure damage. Nighttime conditions are typical and mitigated by adequate lighting; congestion on the roadway appears normal for an urban setting.</t>
  </si>
  <si>
    <t>Geolocation inference: likely a Mediterranean or Middle Eastern urban residential area (e.g., Israel) based on building style, vegetation, and license plate color/format; confidence low to medium. No pedestrians or moving vehicles visible at the moment, but risk is assessed for potential users of the space.</t>
  </si>
  <si>
    <t>No clear anomalies are visible: vehicles appear on the roadway, the sidewalk is unobstructed, and there are no pedestrians or evident hazards such as flooding, fire, or exposed infrastructure. Nighttime conditions imply routine caution but no specific abnormal risk is apparent from this single frame. Geolocation and cultural context are uncertain (likely European or Mediterranean urban area, low confidence) but do not change the assessment.</t>
  </si>
  <si>
    <t>Geolocation/context assessment: low-to-medium confidence. The scene appears to be a residential or mixed urban area in a temperate region, possibly Southern Europe or the Mediterranean, inferred from the parked compact cars, brick sidewalk, and hedge. The primary safety concern is pedestrian mobility and nighttime trip/fall risk due to obstruction of the walkway.</t>
  </si>
  <si>
    <t>Step 1 – Geolocation &amp; Context: Likely an urban residential or mixed-use area in a region with right-hand traffic, based on vehicle styles, sidewalk paving, and signage; confidence low-to-medium. Nighttime conditions reduce visibility, increasing the hazard level of the sidewalk obstruction.</t>
  </si>
  <si>
    <t>Geolocation &amp; context (low-confidence): likely a European or Mediterranean urban area based on vehicle types, curb style, and paving. The visible vehicles appear to be within the roadway area near an intersection; no clear evidence of wrong-way driving, parking fully on the sidewalk, or immediate hazards. Lighting and visibility are typical for night; no pedestrians, debris, or infrastructure damage posing unusual risk are apparent.</t>
  </si>
  <si>
    <t>No clear traffic violations or unusual hazards are visible. The vehicles appear to be on the roadway near a standard intersection, and the sidewalk is unobstructed.</t>
  </si>
  <si>
    <t>Step 1 – Geolocation &amp; context: Likely a Mediterranean or European urban area (architecture, compact cars, brick sidewalk), but this is low-confidence and does not strongly affect risk assessment. Scene types: roadway/traffic environment, sidewalk/pedestrian zone, mixed urban residential/commercial.</t>
  </si>
  <si>
    <t>Step 1 – Geolocation &amp; Context: Likely an urban or suburban area in a temperate or Mediterranean climate based on tree species, landscaping, and brick-paved sidewalk; confidence low to medium, as no clear language or signage is visible. Scene appears to be a standard, well-maintained nighttime pedestrian corridor with adequate lighting and no evident obstructions, damage, or unsafe behaviors. No anomaly or abnormal risk detected in this scene relative to typical nighttime sidewalk conditions.</t>
  </si>
  <si>
    <t>Location appears to be an urban residential street in a region using right-turn priority and yield signage similar to European/Israeli standards; confidence medium. Main concern is pedestrian accessibility and trip hazard from improperly placed bulky waste on the sidewalk at night.</t>
  </si>
  <si>
    <t>Geolocation is low-confidence; scene appears to be a typical urban street in a warm-climate city based on architecture, vegetation, and vehicles. Main hazard is pedestrian trip/obstruction risk and potential need to step into the street near moving traffic.</t>
  </si>
  <si>
    <t>Geolocation context inferred as Israel (medium confidence) from Hebrew/English signage and Mediterranean-style urban environment. Nighttime conditions amplify tripping and navigation risks from the sidewalk obstruction.</t>
  </si>
  <si>
    <t>Geolocation &amp; context (low-confidence): likely a typical urban or suburban area in a temperate or Mediterranean region, inferred from architecture, street trees, and stone wall. Sidewalk appears unobstructed and adequately lit; no visible hazards or abnormal behaviors.</t>
  </si>
  <si>
    <t>Geolocation inference: likely Middle Eastern/ Mediterranean urban area (e.g., Israel) based on yellow license plate style, building design, and signage; confidence medium. Scene type: mixed urban roadway with pedestrian activity in front of a residential or office building at night.</t>
  </si>
  <si>
    <t>Location inference: likely urban area in a country using red-and-white curb no-parking markings and yellow license plates; confidence low. No clear obstructions or unusual behavior visible on the sidewalk in this frame. Lighting is low but typical for nighttime; no specific anomaly identified from the single image.</t>
  </si>
  <si>
    <t>Step 1 – Geolocation &amp; Context: The scene appears to be a modern urban roadway with a brick-paved sidewalk, red-and-yellow painted curbs, and Mediterranean-style vegetation (tall narrow conifer, broadleaf trees). Vehicles drive on the right side of the road. This could be a city in Southern Europe or the Middle East (e.g., Israel), but this is low-confidence and not essential to risk evaluation. Step 2 – Scene Type: Roadway/traffic environment and sidewalk/pedestrian zone in a mixed urban area. Step 3 – Description: Nighttime, well-lit, no pedestrians on the sidewalk, light vehicular traffic, orderly infrastructure. Step 4 – Objects: Road, sidewalk, one car, street lights, trees, vegetation, curb markings, bus stop shelter. Step 5 – Anomaly Detection: No visible anomalies such as damaged infrastructure, obstructions, flooding, or unsafe behavior. The environment appears orderly and adequately illuminated for both drivers and potential pedestrians. Step 6 – Risk Assessment: With no identified anomalies, only normal background traffic risk exists. Step 7 – Spatial Localization: Not applicable due to absence of anomalies. Step 8 – Reasoning: The sidewalk is clear and level, with no apparent tripping hazards or encroachments; the road shows normal lane usage; markings and lighting are appropriate. Step 9 – Overall: The scene appears safe with no abnormal or elevated immediate risks beyond typical nighttime urban traffic conditions.</t>
  </si>
  <si>
    <t>Step 1 – Geolocation &amp; Context: Likely a developed urban or suburban area, possibly in Europe or the Middle East, inferred from crosswalk style, curb painting, and street furniture; confidence low-to-medium. Step 2 – Scene Type: Sidewalk/pedestrian zone adjacent to roadway in mixed urban residential setting. Step 3 – No clear traffic violations, unsafe pedestrian behavior, or evident infrastructure damage are visible. Lighting appears adequate, and the pedestrian remains on the sidewalk and not in the roadway. Therefore, no specific anomalies or elevated risks are identified from this single frame.</t>
  </si>
  <si>
    <t>Geolocation confidence is low; scene resembles a generic urban area with brick sidewalks and mixed traffic. Assessment assumes typical urban pedestrian and traffic norms where sidewalks should remain clear.</t>
  </si>
  <si>
    <t>Geolocation confidence is low; urban environment with red-white curb paint and brick sidewalk suggests a dense city street in a region that uses such curb markings (possibly Mediterranean or Middle Eastern). Risk is moderate primarily due to pedestrian obstruction at night rather than immediate vehicular danger.</t>
  </si>
  <si>
    <t>Location context: likely an urban area in a temperate or Mediterranean city, inferred from brick sidewalk, roadside plantings, and vehicle style; confidence low to medium. Sidewalk appears unobstructed and evenly lit for night, with vehicles in proper lanes and no pedestrians, debris, or visible hazards. No anomaly or abnormal risk detected in this scene based on visible evidence.</t>
  </si>
  <si>
    <t>Step 1 – Geolocation &amp; Context: The yellow license plate with black digits and Hebrew-style numerals and urban Mediterranean architecture suggest this is likely in Israel or a similar Middle Eastern urban area (medium-confidence). This is a mixed residential/urban street with standard expectations of clear sidewalks. Step 2 – Scene Type: Sidewalk/pedestrian zone along a local roadway in a residential/mixed urban area at night. The main risk is pedestrian tripping or being forced into the roadway due to the large wooden obstruction.</t>
  </si>
  <si>
    <t>Step 1 – Geolocation &amp; Context: The scene appears to be a well-maintained urban or suburban street in a warm-climate city (palm trees, night lighting, modern low-rise buildings). Exact country is uncertain; possibilities include Mediterranean or Middle Eastern cities. Confidence: low-to-medium, based on vegetation and urban design. Step 2 – Scene Type: Sidewalk/pedestrian zone with adjacent roadway and residential/mixed-urban environment. Step 3 – Scene Description: Nighttime, central pedestrian path or cycle path bordered by shrubs and a separate brick sidewalk to the right, with a parallel vehicle roadway and traffic queue to the left, all under street lighting. Step 4 – Object Identification: Key elements catalogued above; no pedestrians, cyclists, or animals visible on the path or roadway. Step 5 – Anomaly Detection: No clear anomalies such as obstructed sidewalks, vehicles encroaching on pedestrian space, visible infrastructure damage beyond minor surface cracks, or unsafe crowding. Traffic appears controlled by red signal; cars are in lane. Step 6 – Risk Assessment: With no discrete anomaly, no specific exposed group is at elevated risk beyond normal nighttime urban conditions. Step 7 – Spatial Localization: Not applicable as no anomalies were found. Step 8 – Reasoning: The environment is orderly, adequately lit, and infrastructure (curbs, hedges, path) appears intact; the minor surface cracks on the path are within normal wear-and-tear and do not currently represent a clear abnormal hazard. Step 9 – Overall Safety Impact: Overall situation appears safe with standard urban nighttime risk only; no abnormal or acute hazards detected in the frame.</t>
  </si>
  <si>
    <t>Geolocation is low-confidence; appears to be an urban sidewalk in a temperate region at night based on paving style and lighting. No immediate vehicular risks are present in this frame.</t>
  </si>
  <si>
    <t>Geolocation context: license plate style and curb painting suggest a Middle Eastern / Mediterranean urban area, likely Israel (medium confidence). Cultural norms may tolerate partial curb parking in some neighborhoods, but it still poses accessibility and safety concerns for pedestrians, especially those with mobility impairments or using strollers or wheelchairs.</t>
  </si>
  <si>
    <t>Geolocation inference: likely a Mediterranean urban area, possibly Israel, based on Hebrew-looking street signs, building style, and curb design; confidence medium. Risk is mainly to pedestrians due to reduced sidewalk clearance at night.</t>
  </si>
  <si>
    <t>Step 1 – The scene appears to be a Mediterranean or Middle Eastern urban area (e.g., Israel or Southern Europe) inferred from building style, brick-paved sidewalk, car types, and number plate style; confidence is low-to-medium. Night-time lighting reduces visibility. No immediate vehicle conflicts are visible, so the dominant issue is pedestrian passage obstructed by debris.</t>
  </si>
  <si>
    <t>Geolocation context is low-confidence; scene appears to be an urban area, possibly in a region using brick sidewalks and painted curb edges. No pedestrians are visible in this frame, and traffic conditions cannot be assessed.</t>
  </si>
  <si>
    <t>Location context is inferred as an urban area, likely in a region using red-white curb markings; confidence medium. Risk level is moderate primarily due to pedestrian obstruction rather than immediate vehicle collision.</t>
  </si>
  <si>
    <t>Step 1 – Geolocation &amp; context: Likely a developed urban area in a temperate or Mediterranean climate, inferred from vegetation, road design, and sidewalk paving; confidence low-to-medium. Nothing appears abnormal: vehicles are on the roadway, sidewalk is unobstructed and well lit, crosswalk and signage are in place, and no immediate hazards such as flooding, debris, or exposed infrastructure are visible. Nighttime conditions inherently limit visibility but are mitigated by adequate street lighting; this is considered normal rather than anomalous.</t>
  </si>
  <si>
    <t>Location context appears to be an urban street in a temperate or Mediterranean region, but this inference is low-confidence due to limited signage detail and generic architecture. The main concern is the tripping and obstruction hazard on the sidewalk rather than vehicular risk.</t>
  </si>
  <si>
    <t>Step 1 – Geolocation &amp; Context: Likely an urban park or pedestrian zone in a European or Mediterranean city, inferred from paved brick sidewalk, curb style, hedges, and shared e-scooter infrastructure; confidence is low-to-medium. The scooter appears properly parked within a designated zone, with no visible obstructions for pedestrians or vehicles. No environmental, infrastructural, or behavioral anomalies or abnormal risks are apparent in this frame.</t>
  </si>
  <si>
    <t>Geolocation is low-confidence; the scene appears to be an urban area with European-style brick sidewalk and curb, but exact region is uncertain. Risk is mainly for pedestrians due to cluttered walkway at night.</t>
  </si>
  <si>
    <t>Geolocation context inferred as a typical urban street in a warm-climate region, likely Mediterranean/Middle Eastern, based on architecture, signage, and vegetation; confidence medium. The dominant concern is the unexpected fabric bundle lying in the active roadway near a marked crosswalk at night.</t>
  </si>
  <si>
    <t>Geolocation is uncertain; this appears to be a generic urban sidewalk in a temperate or warm climate. Risk is limited to pedestrians due to lack of vehicular traffic in the frame.</t>
  </si>
  <si>
    <t>Geolocation/context inference: License plates and curb painting style suggest an urban street likely in Israel or a similar Middle Eastern city (medium confidence). Nighttime conditions elevate the severity of trip hazards relative to daytime.</t>
  </si>
  <si>
    <t>Geolocation/context assessment: medium-confidence. The yellow license plates, Hebrew-like typography on plates, curb paint pattern, and dense urban buildings suggest an urban street in Israel or a similar Middle Eastern city. Nighttime lighting reduces visibility, amplifying the hazard from the sidewalk obstruction.</t>
  </si>
  <si>
    <t>Geolocation confidence is low; it appears to be an urban area with red-white curb markings typical in some Mediterranean or Middle Eastern cities. Assessment is based solely on visible objects; no pedestrians are present in this frame, but normal sidewalk usage is assumed.</t>
  </si>
  <si>
    <t>The environment appears orderly and well-lit for night conditions, with no visible obstructions, damaged infrastructure, or abnormal behaviors. Sidewalk looks slightly wet but not flooded, representing only normal minor slip risk for pedestrians.</t>
  </si>
  <si>
    <t>Geolocation is uncertain; appears to be a generic urban sidewalk in a temperate or Mediterranean-like city. Regardless of location, the uneven pavement at night represents a significant trip hazard.</t>
  </si>
  <si>
    <t>Geolocation is uncertain; scene appears to be an urban or suburban pedestrian alley or sidewalk in a temperate region. Assessment assumes this is a standard pedestrian route used in low light conditions.</t>
  </si>
  <si>
    <t>Step 1 – Geolocation &amp; Context: Likely a European or Mediterranean urban area based on brick sidewalk, curb style, and vehicles; confidence low to medium. Scene Type: roadway/traffic environment with adjacent pedestrian sidewalk in mixed urban setting. Step 3–5: No clear anomalies such as vehicles on the sidewalk, damaged infrastructure, or visible pedestrians in danger. The car appears to be correctly on the roadway at an intersection, and lighting and infrastructure appear typical for an urban night scene. Consequently, no specific abnormal risk is identified beyond normal nighttime urban traffic conditions.</t>
  </si>
  <si>
    <t>Step 1 – Geolocation &amp; Context: The signage shapes and colors, parked vehicles, sidewalk-heavy streetscape, and stone wall suggest a dense urban residential area, likely in a Mediterranean or Middle Eastern city (possibly Israel, inferred from sign and sidewalk style), but this is low- to medium-confidence. Step 2 – Scene Type: Urban sidewalk/pedestrian zone adjacent to a roadway in a residential/mixed urban area. No moving vehicles or pedestrians are visible, but the structural vegetation obstruction creates a persistent pedestrian safety and accessibility issue.</t>
  </si>
  <si>
    <t>Step 1 – Location context: Likely an urban or suburban area in a temperate region, inferred from brick paving style, parked car, and street furniture; confidence low to medium, as no clear language or signage is visible. Scene type: pedestrian sidewalk in a mixed urban setting at night. Main risk is from the puddle on the walkway; no moving vehicles or crowds are present.</t>
  </si>
  <si>
    <t>Geographic context is uncertain (likely a Mediterranean or Middle Eastern urban residential area) but does not materially change that dual obstructions on a narrow sidewalk at dusk create a potentially hazardous environment for pedestrians.</t>
  </si>
  <si>
    <t>Step 1 – Likely a Mediterranean/European or Middle Eastern urban area at night, inferred from vehicle styles, plate color/shape, and streetscape; confidence medium. Step 2 – Scene type: sidewalk/pedestrian zone along an urban roadway. Step 3–5 – No clear anomalies: sidewalk is unobstructed, lighting is adequate, vehicles are properly parked, vegetation does not appear to block the path or visibility significantly. Normal nighttime urban conditions; only routine background risk typical of walking along a city street.</t>
  </si>
  <si>
    <t>Geolocation context: The yellow rear license plate with black numerals and Hebrew-script signage suggests an Israeli urban environment (medium confidence). Risk is moderate because while there is no immediate collision visible, the blocked sidewalk poses a significant access and exposure hazard for pedestrians near moving night traffic.</t>
  </si>
  <si>
    <t>Step 1 – Likely an urban or suburban sidewalk next to a main road in a temperate or warm-climate city; specific country/region is uncertain (low-confidence). Infrastructure, lighting, and vegetation appear normal and well-maintained. No pedestrians, vehicles, or hazards are present on the sidewalk. No anomaly or abnormal risk detected beyond ordinary nighttime walking conditions.</t>
  </si>
  <si>
    <t>Location context: likely a residential or mixed urban street in a region with right-hand traffic, inferred from car orientation and typical European-style compact cars. Confidence medium. The dominant hazard is obstruction of the sidewalk by both a parked car and bulky debris, which significantly compromises pedestrian safety in evening lighting.</t>
  </si>
  <si>
    <t>Step 1 – Geolocation &amp; Context: The environment appears to be an urban or suburban street with a separated pedestrian or cycle path at night. The presence of a white commercial van, cars parked in an orderly line, landscaped shrubs, and standard street lighting suggests a modern city context, likely in a temperate or warm region. However, there are no clear language signs or distinctive architectural cues, so any specific country or region identification would be low-confidence. Assumption: this is a typical urban pedestrian/cycle corridor adjacent to a roadway. Step 2 – Scene Type: The scene is primarily a sidewalk/pedestrian or cycle path zone running alongside a roadway, and is part of a mixed urban residential or commercial corridor with landscaping. Step 3 – Description: The image shows a straight, mostly empty paved pathway at night, well-lit, bordered by trees and shrubs. On the left, separated by a narrow planted strip, is a roadway with a white van and other parked vehicles under street lights. Background lights and a green traffic signal or illuminated object are visible in the distance. No pedestrians, cyclists, or moving vehicles are clearly visible. Step 4 – Object Identification already captured in 'objects'. Step 5 – Anomaly Detection: No visible anomalies or abnormal behaviors are apparent. The path is unobstructed; vehicles are parked orderly along the roadway; infrastructure appears intact; lighting is adequate for typical nighttime use. There is a dark patch on the path surface in the foreground that might be a stain or small pothole, but its depth or hazard potential cannot be determined from this single frame and is treated as normal wear unless clearly hazardous, which is not evident here. Step 6 – Risk Assessment: With no clear anomalies, there is no specific exposed group at elevated risk beyond normal nighttime urban conditions. Step 7 – Spatial Localization: Not applicable, as no anomalies were identified. Step 8 – Reasoning: All observed elements (parked cars, street lights, vegetation, empty path) align with expectations for a planned urban pedestrian or cycle route at night. There are no signs of flooding, fire, obstructed exits, unsafe crowding, or errant vehicles. Step 9 – Overall Safety Impact: The scene appears safe with standard, everyday nighttime conditions on an urban path, and no particular hazard stands out in this frame.</t>
  </si>
  <si>
    <t>Step 1 – Geolocation &amp; context: Likely European or Mediterranean urban area (medium-confidence) inferred from vehicle types, sidewalk/curb style, and general streetscape; no clear signage language visible. Nighttime/low-light conditions but street and vehicles are visible. Step 2 – Scene type: roadway/traffic environment adjacent to a pedestrian sidewalk in a mixed urban residential area. Step 5 – No anomalies: vehicles appear to be properly on the road near an intersection; sidewalk is unobstructed, and no pedestrians or immediate hazards are visible.</t>
  </si>
  <si>
    <t>Location context appears to be a Mediterranean or Middle Eastern urban residential street (medium-confidence) based on architecture, vegetation, and curb/marking style; this informs that pedestrians commonly use these sidewalks, so obstruction is a meaningful safety concern.</t>
  </si>
  <si>
    <t>Step 1 – Context: The brick sidewalk, curb painting, and vehicle style suggest an urban environment, possibly Mediterranean/European, but this is low-confidence and not safety-critical. Step 2 – Scene Type: Sidewalk/pedestrian zone alongside a roadway in a mixed urban area. Step 5 – No visible anomalies: sidewalk appears unobstructed, lighting seems adequate, parked car is properly by the curb, and bollards/trees are standard infrastructure. No abnormal behavior or unusual hazards can be discerned from this single frame.</t>
  </si>
  <si>
    <t>Step 1 – Geolocation &amp; Context: Medium-confidence guess of a modern urban area in a temperate or Mediterranean climate based on vegetation, lighting, and high-rise buildings; specific country not clear. Step 2 – Scene Type: Mixed urban pedestrian zone next to a roadway in a landscaped area, likely a park or boulevard. Step 3 &amp; 4 – Scene Description &amp; Objects: The image shows two parallel paths (one brick, one asphalt) bordered by plants and lit by streetlights, with a nearby road and distant city buildings. Step 5 – Anomaly Detection: Paths appear clear, lighting is adequate, no pedestrians, vehicles, animals, obstructions, or apparent infrastructure damage are visible. No environmental hazards (water, fire, flooding, debris) are evident. Step 6 – Risk Assessment: With no unusual behaviors, obstacles, or hazards visible, no specific risk can be identified beyond normal nighttime urban conditions. Step 7 – Spatial Localization: Not applicable since no anomalies were found. Step 8 – Reasoning: All visible elements—well-maintained paths, landscaping, proper lighting, and separated roadway—are consistent with a typical safe urban walkway at night. Step 9 – Overall Safety Impact: The environment appears safe with no abnormal or elevated risks detected in this frame.</t>
  </si>
  <si>
    <t>Step 1 – Geolocation &amp; Context: Likely a dense urban area in a Mediterranean or Middle Eastern city at night, inferred from architecture, vegetation (palm-like plants), and style of parked compact cars; confidence low-to-medium. No clear cultural or traffic-rule violations are visible. Step 2 – Scene Type: Sidewalk / pedestrian zone adjacent to a roadway in a residential/mixed urban area. Step 5 – No anomaly or abnormal risk detected; pedestrians stay on sidewalk, vehicles appear parked or in normal positions, lighting adequate and no immediate hazards such as obstructions, spills, or exposed infrastructure are visible.</t>
  </si>
  <si>
    <t>Geolocation context low-confidence: appears to be a relatively dense urban or suburban residential area, likely in a European or Mediterranean setting based on paving, vehicles, and hedges. Nighttime conditions further elevate pedestrian risk due to reduced visibility.</t>
  </si>
  <si>
    <t>Step 1 – Likely an urban environment, possibly in a region that uses red-and-white curb paint for no-parking or special zones (e.g., parts of the Mediterranean or Middle East). Confidence low due to limited cues. Step 2 – Scene type: sidewalk/pedestrian zone adjacent to roadway in mixed urban setting. Step 3 – The sidewalk appears clear, reasonably maintained, and unobstructed; the car is properly positioned on the road side of the curb. No visible pedestrians, vehicles in motion, or environmental hazards, so no specific anomaly or elevated risk is detected in this single frame.</t>
  </si>
  <si>
    <t>Geographic context is low-confidence; the vehicles, sidewalk, and street layout suggest a generic urban environment, possibly in Europe or the Mediterranean region. Regardless of exact location, blocked sidewalks and vehicle encroachment are clear pedestrian safety issues, particularly at night.</t>
  </si>
  <si>
    <t>Step 1 – Likely an urban area in a temperate or Mediterranean city, based on street design, vegetation, and traffic lights; confidence low-to-medium as there are no clear language signs. Step 2 – Scene type: sidewalk/pedestrian zone adjacent to a roadway in a mixed urban residential/commercial area. Lighting appears adequate, path is unobstructed, and no pedestrians, vehicles, or hazards encroach onto the sidewalk. No visible construction, debris, flooding, or traffic violations; thus no specific anomalies or elevated risks detected beyond normal nighttime urban conditions.</t>
  </si>
  <si>
    <t>No visible pedestrians, moving vehicles, or obvious hazards. Sidewalk and roadway appear well-lit and unobstructed; no anomaly or abnormal risk detected in this scene.</t>
  </si>
  <si>
    <t>Geolocation is low-confidence; the urban setting with Hebrew-like signage suggests a Middle Eastern city, possibly Israel, but this does not materially change the risk assessment. No other clear hazards such as damaged pavement or obstructed sidewalk are visible.</t>
  </si>
  <si>
    <t>Step 1 – Likely an urban street in a temperate or warm-climate city, but geographic location is low-confidence due to limited cues. Nighttime lighting and conditions appear normal, no clear obstructions, hazards, or unusual behaviors are visible on the sidewalk or road in this frame.</t>
  </si>
  <si>
    <t>Step 1 – Geolocation &amp; Context: The scene appears to be a modern urban or suburban area in a warm-climate region (e.g., Mediterranean or similar) inferred from palm trees, broadleaf trees, and architectural style. Vehicles are driving on the right side, suggesting a right-hand-traffic country. This assessment is low- to medium-confidence and is used only to calibrate expectations about normal traffic and pedestrian behavior. Step 2 – Scene Type: This is primarily a sidewalk/pedestrian zone adjacent to a roadway within a residential or mixed urban area. Step 3 – Scene Description: The image shows a central path and parallel paved sidewalk at night beside a hedge-separated roadway with cars stopped at a red light; there are landscaped bushes and trees and nearby buildings, with adequate lighting and no pedestrians visible. Step 4 – Objects: Key safety-related elements include the roadway with vehicles, the pedestrian path/sidewalk, vegetation forming soft barriers, and nighttime lighting. Step 5 – Anomaly Detection: No clear anomaly is visible. The path is unobstructed, cars appear to be within their lane and stopped for a red light, visibility is acceptable for nighttime, and there are no pedestrians in immediate conflict with traffic. Surface cracks on the central path appear minor and typical for such infrastructure, not rising to an unusual or abnormal condition in this context. Step 6 – Risk Assessment: Because no anomaly is identified, no specific exposed group faces elevated risk beyond normal urban nighttime conditions. Step 7 – Spatial Localization: Not applicable, as no anomalies were detected. Step 8 – Reasoning: All visible behaviors and infrastructure conditions align with expected norms for a lit urban street at night: vehicles are controlled by signals, the pedestrian area is separated from traffic by curbs and vegetation, and no hazardous obstructions or behaviors are apparent. Step 9 – Overall Safety Impact: The setting appears generally safe with routine, low-level background risk typical of nighttime urban walking or driving, but without any distinct, abnormal hazard in this frame.</t>
  </si>
  <si>
    <t>Step 1 – Geolocation &amp; Context: License plate format, signage style, and curb paint suggest an Eastern Mediterranean/Israeli urban neighborhood; confidence medium, as no explicit text is legible. Scene Type: sidewalk/pedestrian zone within a residential urban street. The sidewalk is clear and wide enough, the dog is leashed, cars appear properly parked, and lighting is adequate, so no clear anomalies or abnormal safety risks are visible.</t>
  </si>
  <si>
    <t>Geolocation inference: likely a Mediterranean or Middle Eastern urban area (medium-confidence) based on sidewalk style, stone wall, vegetation, and parking pattern. Primary scene type: sidewalk/pedestrian zone in a mixed urban residential street. Main concern is accessibility and collision hazard from the overgrown shrub, not vehicle conflict.</t>
  </si>
  <si>
    <t>Location context: likely an urban area in a temperate or Mediterranean region, inferred from tree type, brick sidewalk, fencing style, and vehicles; confidence medium. Traffic appears orderly with vehicles stopped at a red light, pedestrian confined to sidewalk, and no visible obstructions or hazards on walking surface or road. Nighttime conditions are mitigated by adequate street lighting. No anomaly or abnormal risk detected in this scene.</t>
  </si>
  <si>
    <t>Step 1 – Likely a modern urban area in a warm-temperate or Mediterranean climate (medium-confidence) based on vegetation, paving style, and lighting; exact country cannot be determined. Step 2 – Scene type: sidewalk/pedestrian zone adjacent to roadway in mixed urban environment. Step 3 – Area appears orderly, well-lit, and free of pedestrians, vehicles, or visible hazards; no abnormal or elevated risks detected beyond ordinary nighttime urban conditions.</t>
  </si>
  <si>
    <t>Likely an urban or suburban pedestrian/cycle path in a temperate region; location inference is low-confidence due to lack of signage or distinctive architecture. Main concern is trip/slip risk from surface deterioration at night.</t>
  </si>
  <si>
    <t>Geolocation context: medium-confidence guess of a Mediterranean/European urban residential area based on car types, building style, and sidewalk/curb design. Risk is elevated by low-light conditions making the obstruction less visible.</t>
  </si>
  <si>
    <t>Geographic context likely an urban area in a temperate or Mediterranean climate, medium-confidence based on paving style, vehicles, and street layout. Primary hazard is pedestrian tripping/route obstruction at night due to improperly stored yard waste or debris.</t>
  </si>
  <si>
    <t>Geolocation is uncertain; appears to be an urban or suburban pedestrian walkway in a temperate or warm region. No vehicles or pedestrians are currently visible, so risk is potential rather than immediate.</t>
  </si>
  <si>
    <t>Location context: appears to be an urban or suburban pedestrian walkway in a temperate or warm climate region at night, with adequate lighting and clear path; no visible hazards or unusual behaviors.</t>
  </si>
  <si>
    <t>Geolocation confidence: low to medium. Scene appears to be a mixed urban residential street in a temperate or Mediterranean city based on architecture, vehicles, and sidewalk style. No immediate vehicle-related anomalies are visible; primary risk stems from pedestrian trip hazards and potential need to step into the roadway.</t>
  </si>
  <si>
    <t>Step 1 – Geolocation &amp; Context: Likely a modern urban area in a warm-climate region (e.g., Mediterranean or Middle Eastern city) based on vegetation, building silhouettes, and road/sidewalk design; confidence low to medium. Scene Type: roadway/traffic environment plus sidewalk/pedestrian zone in a mixed urban setting. The area appears orderly, well-lit, and free of immediate hazards such as obstructions, vehicles blocking the sidewalk, or visible pedestrians in danger. No anomalies or abnormal risks are evident from this single frame.</t>
  </si>
  <si>
    <t>Geolocation/context: likely an urban area in a region that uses brick sidewalks and red-white curb markings, possibly Mediterranean or European; confidence low. Main concern is temporary obstruction of pedestrian space at night rather than a direct traffic collision hazard.</t>
  </si>
  <si>
    <t>Geolocation and cultural context are uncertain but likely an urban or suburban area in a region with right-hand traffic, inferred from car orientation and sidewalk-street layout. Risk assessment focuses on nighttime pedestrian movement and standard urban sidewalk use.</t>
  </si>
  <si>
    <t>Geolocation is low-confidence; scene appears to be an urban or suburban sidewalk in a temperate region at night. No direct vehicle-pedestrian conflict is visible, but the puddle represents a localized slip/obstruction hazard.</t>
  </si>
  <si>
    <t>Geolocation context: likely a dense urban area in a temperate or Mediterranean city, inferred from building style, vegetation, and signage; confidence low-medium. Main safety issue is pedestrian obstruction, not acute traffic danger.</t>
  </si>
  <si>
    <t>No pedestrians are present in the frame, but the condition of the walkway represents a moderate ongoing hazard during nighttime or wet conditions.</t>
  </si>
  <si>
    <t>Step 1 – Geolocation &amp; Context: The scene appears to be an urban street in a temperate or Mediterranean city at night, with tiled sidewalks, street trees, and parallel-parked cars. No specific country is clearly identifiable; confidence low to medium. Step 2 – Scene Type: Sidewalk/pedestrian zone along a mixed urban roadway. Step 3 – Scene Description: Clean, unobstructed sidewalk, possibly slightly wet but flat and even, with normal street lighting and light traffic in the distance. Step 4 – Objects: Key elements include sidewalk, parked cars, trees, fence, fire hydrant, pedestrians in the distance, and roadway. Step 5 – Anomaly Detection: No clear abnormal behavior, obstructions, infrastructure damage, or hazardous conditions are evident; the slight shine on tiles suggests minor moisture but not clearly enough to classify as a distinct hazard. Therefore, no anomaly or abnormal risk is detected in this scene under typical urban norms. Step 6–9 – Risk &amp; Summary: With no anomalies identified, the area appears generally safe for pedestrians and drivers under ordinary conditions, with normal nighttime urban risk levels not exceeding baseline expectations.</t>
  </si>
  <si>
    <t>Geolocation context: likely an urban area in Europe or the Middle East based on brick sidewalk, curb style with red-white painting, and vehicle types; confidence is low to medium. Risk is moderate but localized to pedestrian movement on this block; traffic on the adjacent road appears normal.</t>
  </si>
  <si>
    <t>Geolocation confidence medium: license plate format and street design suggest an urban area in Israel or similar region. Nighttime and limited lighting increase the impact of the sidewalk obstruction.</t>
  </si>
  <si>
    <t>Step 1 – Geolocation &amp; context: Likely a Mediterranean or Middle Eastern urban area based on tree species, paving style, and parked vehicles; confidence low to medium. Typical mixed urban street with sidewalk and adjacent roadway at night. Step 2 – Scene type: sidewalk/pedestrian zone, adjacent roadway, mixed urban residential/commercial. Step 3 – The sidewalk appears unobstructed, level, and well-lit for nighttime; no pedestrians, vehicles in motion, or visible hazards like debris, construction, or flooding. Some dampness on pavement suggests recent rain but does not appear to create standing water or obvious slip risk. Therefore, no clear anomaly or abnormal risk is detectable from this single frame.</t>
  </si>
  <si>
    <t>Step 1 – Geolocation &amp; Context: The scene appears to be in a European or Mediterranean urban setting based on the brick sidewalk, curb style, vehicles, and vegetation. Confidence: low to medium; no readable signage or distinctive markings are visible. This is a mixed urban roadway–sidewalk interface in low-light (night or dusk) conditions. No obvious road damage or environmental hazards are evident apart from the close car maneuvering.</t>
  </si>
  <si>
    <t>Geolocation is low-confidence; scene appears to be a typical urban or suburban street in a temperate region, inferred from brick sidewalk, curb design, and vehicles. No pedestrians are visible, but the obstruction would pose risk during normal use.</t>
  </si>
  <si>
    <t>Step 1 – Geolocation &amp; Context: The scene appears to be a modern urban area in a warm-climate region (e.g., Mediterranean or Middle Eastern city) inferred from palm vegetation, building styles, and street layout. Confidence is low-to-medium as there are no clear textual signs. Step 2 – Scene Type: This is primarily a sidewalk/pedestrian zone alongside an urban roadway in a mixed-use area. Step 3 – Scene Description: The sidewalk is wide, unobstructed, and well lit; there are no visible pedestrians, cyclists, or immediate hazards. Traffic remains on the roadway, separated from pedestrians by plants, guardrail, and curb. Step 5 – Anomaly Detection: No visible anomalies such as damaged infrastructure, obstructions, unsafe behavior, or environmental hazards. Street lighting appears functional and adequate for night-time use. Overall the environment seems safe for pedestrians under normal conditions.</t>
  </si>
  <si>
    <t>Step 1 – Geolocation &amp; context: Urban street with brick sidewalk, European-style crosswalk markings and vehicles, and a circular prohibition sign suggests a European or Mediterranean city; confidence low-medium. Nighttime conditions heighten the impact of physical obstructions on the sidewalk.</t>
  </si>
  <si>
    <t>Geolocation confidence is low; the red-and-white curb and brick sidewalk suggest a dense urban area, possibly Mediterranean, but this does not affect the assessment that the primary risk is a nighttime pedestrian obstruction on the sidewalk.</t>
  </si>
  <si>
    <t>Geolocation inference: medium-confidence that this is a dense urban area in a European or Mediterranean city, based on building style, traffic lights, and vehicles. The behavior of vehicles and pedestrians generally follows a signalized intersection pattern; the main abnormality is the SUV's position overlapping the crosswalk during an active pedestrian phase.</t>
  </si>
  <si>
    <t>Likely Mediterranean or Middle Eastern urban setting (e.g., based on vegetation and curb painting style), but this is low-confidence. The scene appears orderly with normal nighttime lighting, proper separation between pedestrians and vehicles, and no visible hazards or unusual behaviors. The small debris on the sidewalk is negligible and does not present a real safety risk.</t>
  </si>
  <si>
    <t>Step 1 – Geolocation &amp; Context: The scene appears to be an urban area in a temperate or Mediterranean city, inferred from the sidewalk paving style, vegetation, and curb painting; confidence is low to medium and no specific country is assumed. Step 2 – Scene Type: This is primarily a sidewalk/pedestrian zone adjacent to a roadway in a mixed urban environment. The roadway traffic seems orderly with no visible violations; main concern is localized pedestrian slip risk from the wet patch.</t>
  </si>
  <si>
    <t>Step 1 – Likely an urban area in a warm-climate city (medium-confidence) based on vegetation, building style, and modern streetscape; exact country cannot be determined. The sidewalk and road appear well-maintained and well-lit, with no pedestrians, obstacles, or visible hazards. No anomalies or abnormal risks are evident in this single frame.</t>
  </si>
  <si>
    <t>Geolocation inference: medium-confidence guess of an Eastern Mediterranean/Israeli city based on license plate color/format and sign text resembling Hebrew. No pedestrians are visible at the moment, but the infrastructure and dense urban context imply regular pedestrian activity, making sidewalk obstruction a moderate safety concern, especially at night.</t>
  </si>
  <si>
    <t>Context likely an urban or suburban sidewalk or park path at night; no vehicles or pedestrians are present in the frame, but the pathway condition could affect typical night users such as walkers, joggers, or micromobility devices.</t>
  </si>
  <si>
    <t>Likely Mediterranean or Middle Eastern urban area inferred from Hebrew-like street signs, car plates, and building style; risk levels consider typical pedestrian nighttime use of such sidewalks.</t>
  </si>
  <si>
    <t>Step 1 – Likely a generic urban environment, possibly Mediterranean or European, inferred from building style, stone wall, and street layout; confidence low. Scene shows a typical evening sidewalk with adequate separation from traffic and no apparent obstructions, conflicts, or immediate hazards visible in this single frame.</t>
  </si>
  <si>
    <t>Geolocation/context assessment: medium-confidence Western or Mediterranean urban area inferred from brick sidewalk, curb style, and vehicles. Lighting suggests evening or night, which increases the impact of vehicle encroachment on pedestrian safety even though no pedestrians are currently visible.</t>
  </si>
  <si>
    <t>Geolocation confidence: low-to-medium. Scene appears to be a residential street in a temperate/mediterranean urban area, inferred from car styles, hedge landscaping, and paving. Primary concern is obstruction of pedestrian right-of-way at night.</t>
  </si>
  <si>
    <t>Location inference: likely a developed urban area in a warm-climate region, possibly Mediterranean or Middle Eastern, based on vegetation, curb coloring, and night lighting style; confidence low to medium. Sidewalk is wide, unobstructed, and separated from the road by a curb and vegetation, and traffic appears light with good street lighting. No visible hazards, pedestrians, or abnormal behaviors, so no specific anomalies or elevated risks are detected in this frame.</t>
  </si>
  <si>
    <t>Step 1 – Geolocation &amp; Context: License plate style and vehicles suggest a developed urban area, possibly Mediterranean/European or Middle Eastern, but this is low-confidence. The environment is a lit urban street with a separated pedestrian/cyclist path and adjacent sidewalk and roadway. Step 2 – Scene Type: Roadway/traffic environment adjacent to a pedestrian zone and mixed urban residential/commercial setting. Step 3 – Scene Description: The scene appears orderly with clear separation between pedestrian/cyclist paths and motor traffic, good lighting, and no visible pedestrians, vehicles, or obstacles encroaching on the walkway. Step 5 – Anomaly Detection: No unusual behaviors, obstructions, or infrastructure damage are visible; the cracks in the asphalt are minor and typical wear, not a clear safety hazard. Therefore, no specific anomalies are recorded and overall risk is assessed as low/normal for a nighttime urban path.</t>
  </si>
  <si>
    <t>Location context: likely a residential or mixed urban street in a temperate region, inferred from parked cars, paved sidewalk, and hedge. Assessment confidence: medium. The dominant hazard is the effective blockage of the sidewalk by both a parked vehicle and bulky waste, especially problematic at night.</t>
  </si>
  <si>
    <t>Geolocation context low-confidence; appears to be an urban area possibly in a region using red-and-white curb markings, but nothing in the frame indicates abnormal conditions. Sidewalk looks generally unobstructed and dry; no evident pedestrians, moving traffic, or acute hazards.</t>
  </si>
  <si>
    <t>Step 1 – The red-yellow curb paint, brick sidewalk style, and lush street trees suggest a modern urban environment, plausibly in a Mediterranean or Middle Eastern city, but this is low-confidence as there are no clear language signs or distinctive vehicles. Step 2 – Scene type: roadway/traffic environment + sidewalk/pedestrian zone + mixed urban. Step 3 – The scene is well-ordered: a wide, unobstructed sidewalk, segregated from the road by a curb, with nighttime lighting. No pedestrians, cyclists, or obvious hazards such as flooding, debris, damaged pavement, or vehicles encroaching on the sidewalk are visible. Step 5 – No anomaly or abnormal risk detected in this scene; conditions appear typical for a quiet, lit urban street at night. The absence of people reduces immediate conflict risk, and infrastructure appears intact and orderly.</t>
  </si>
  <si>
    <t>Step 1 – Geolocation &amp; Context: Likely an urban area in a temperate or warm-climate city (medium-confidence) inferred from tree species, brick sidewalk, and roadside planting, but no clear language or region-specific signage is visible. Step 2 – Scene Type: Sidewalk/pedestrian zone adjacent to an urban roadway with landscaping. Step 5 – Anomaly Detection: The scene shows a well-maintained, unobstructed sidewalk at night with adequate lighting and no visible hazards, pedestrians, vehicles intruding on the walkway, or infrastructure damage; thus no specific anomalies or abnormal risks are identified beyond usual nighttime urban context.</t>
  </si>
  <si>
    <t>Geolocation and context assessment: medium-confidence guess of a Mediterranean/Israeli urban residential street based on Hebrew text on boxes, building style, and vehicles. The key safety concern is the nighttime blockage of the sidewalk by bulky waste and its slight encroachment into the roadway.</t>
  </si>
  <si>
    <t>Step 1 – Geolocation &amp; Context: The bus with what appears to be non-Latin script, warm night lighting, and vegetation suggest a Mediterranean or Middle Eastern urban environment (medium-confidence; exact country unknown). The scene is a typical urban pedestrian path adjacent to a roadway at night, with no visible pedestrians, vehicles staying on the road, intact infrastructure, and adequate lighting. No anomalies or abnormal safety risks are evident in this single frame.</t>
  </si>
  <si>
    <t>Step 1 – Geolocation &amp; context: The scene appears to be a modern urban or suburban environment, likely in a Mediterranean or Middle Eastern city (e.g., Israel or similar) based on the brick sidewalk style, vegetation (including palm), vehicle types, and the red-white curb markings. Confidence: medium, this is an inference. Step 2 – Scene type: sidewalk/pedestrian zone along a roadway in a residential or mixed urban area. Step 3 – Scene description: The image shows a clear, unobstructed sidewalk at night, with parked cars along the curb, streetlights, and adjacent greenery and a building wall. Step 4 – Objects identified above. Step 5 – Anomaly detection: No visible anomalies such as obstructions on the sidewalk, hazardous surface damage, unusual vehicle behavior, or environmental hazards. Lighting seems adequate and the area looks orderly. Step 6 – Risk assessment: Since no specific anomaly is detected, risk is assessed as negligible. Step 7 – Spatial localization is not applicable due to absence of anomalies. Step 8 – Reasoning: The sidewalk appears level and intact; there are no pedestrians, spills, debris, or vehicles encroaching onto the pedestrian path. Parked cars are where expected along a curb. The environment seems typical for a quiet nighttime residential street. Step 9 – Overall safety impact: The scene appears safe with no abnormal or elevated risks observable in this frame.</t>
  </si>
  <si>
    <t>Location context: medium-confidence guess of a Mediterranean or European urban residential area based on car styles, license plate shapes, and vegetation. The main safety concern is pedestrian access and trip/impact hazards from the obstruction and reduced sidewalk width.</t>
  </si>
  <si>
    <t>Likely a typical urban area, possibly Mediterranean/European, inferred from building style, brick sidewalk, and cars; confidence low. Main safety issue is pedestrian path blockage at night rather than immediate vehicle collision risk.</t>
  </si>
  <si>
    <t>Context inference: license plate style and curb paint suggest a Middle Eastern / Mediterranean urban area, likely Israel; confidence medium. Dominant risks are physical obstacles and surface defects on a nighttime sidewalk, posing moderate tripping and collision hazards to pedestrians.</t>
  </si>
  <si>
    <t>Geolocation/context inference: medium-confidence. The Hebrew-like script on signs and red-white curb paint suggest an urban area in Israel or a similar region. Nighttime lighting reduces visibility, elevating the impact of otherwise minor road debris.</t>
  </si>
  <si>
    <t>No clear anomalies or abnormal risks are visible; sidewalk appears mostly unobstructed with only minor surface wear, and vehicle is properly parked at the curb.</t>
  </si>
  <si>
    <t>Geographic context is uncertain (low-confidence), but scene appears to be an urban or suburban pedestrian corridor at night. No vehicles or people are present, so current risk is potential rather than active.</t>
  </si>
  <si>
    <t>Geolocation and cultural context are uncertain; it appears to be an urban or suburban pedestrian walkway in a temperate climate at night. Assessment is medium-confidence based solely on paving style, lighting, and presence of adjacent fence and pole.</t>
  </si>
  <si>
    <t>Step 1 – Geolocation &amp; Context: The environment appears to be an urban or suburban street in a temperate or Mediterranean climate, inferred from the vegetation and streetscape design. No specific country can be determined; confidence is low. Lighting, parked vehicles, and traffic signals suggest a standard urban setting at night.
Step 2 – Scene Type: Sidewalk/pedestrian zone along a roadway in a mixed urban or residential area.
Step 3–8 – No anomalies or abnormal risks are evident: the paths are unobstructed, lighting is adequate, vehicles remain on the adjacent road, and there are no visible pedestrians, animals, or infrastructure damage posing an immediate hazard. Scene appears generally safe for pedestrians at this snapshot.</t>
  </si>
  <si>
    <t>Step 1 – Geolocation &amp; Context: The scene appears to be a modern urban or suburban area in a warm or Mediterranean-like climate (palm trees, night lighting, dense but orderly vegetation). No clear textual signage to pin down a specific country; confidence is low to medium. Step 2 – Scene Type: Sidewalk/pedestrian zone adjacent to a roadway in a residential or mixed urban environment at night. Step 3 – Scene Description: Well-lit, orderly environment, with separated pedestrian and vehicular spaces and no visible pedestrians or active conflicts. Step 5 – Anomaly Detection: No obvious anomalies or abnormal risks are evident; the sidewalks are unobstructed, vehicles are on the road, traffic light is functioning, and there are no immediate hazards such as flooding, fires, or exposed infrastructure. The overall situation appears safe for typical nighttime urban conditions.</t>
  </si>
  <si>
    <t>Step 1 – The environment appears to be a modern urban area, possibly in a Mediterranean or Middle Eastern city, inferred from vegetation, lighting style, and buildings; confidence is low-to-medium and not critical to risk assessment. Step 2 – Scene type: sidewalk/pedestrian zone adjacent to a roadway within a mixed urban area. Step 3 – The scene shows a well-lit, empty sidewalk with vegetation, next to a lightly trafficked roadway at night. Step 5–8 – No clear anomalies or abnormal risks are visible: infrastructure, lighting, and separation between road and sidewalk appear normal, and the surface defects on the sidewalk seem minor cosmetic stains rather than trip hazards. Overall, the scene appears safe with no notable immediate hazards.</t>
  </si>
  <si>
    <t>Step 1 – Geolocation &amp; Context: The scene appears to be an urban sidewalk, possibly in a temperate or warm-climate city. The specific country or region is unclear; assessment is low-confidence. Assumption: standard expectations for smooth pedestrian infrastructure in a typical city. Step 2 – Scene Type: Sidewalk / pedestrian zone in a mixed urban environment. The dominant safety concern is the damaged pavement creating a nighttime trip hazard.</t>
  </si>
  <si>
    <t>Likely Mediterranean/Israeli urban setting inferred from curb paint style, signage, and architecture; confidence medium. No moving vehicles or pedestrians are visible, so dynamic risk is inferred from typical use of such streets.</t>
  </si>
  <si>
    <t>Likely urban environment with typical curb coloring and street markings; no pedestrians, vehicles in motion, or clear hazards visible in this single frame.</t>
  </si>
  <si>
    <t>Step 1 – Geolocation &amp; Context Assessment: The scene appears to be an illuminated urban or suburban area at night, likely in a temperate or Mediterranean climate given the landscaping (shrubs, small palms, trees) and modern high-rise buildings in the background. Roadway design, vehicles, and signage suggest a developed city but there are no strong language cues; confidence in a specific country is low. Overall context confidence: low-to-medium. Step 2 – Scene Type: This is primarily a sidewalk/pedestrian zone running parallel to a roadway in a mixed urban environment with landscaped vegetation. Step 3–8 – Anomaly &amp; Risk: The paths are clear, well-lit, and separated from vehicular traffic by vegetation and curbs. No pedestrians, animals, obstructions, or damaged infrastructure are visible, and vehicle behavior appears normal for nighttime urban traffic. Consequently, no specific anomalies or abnormal risks are detected in this frame.</t>
  </si>
  <si>
    <t>Geolocation and cultural context are uncertain (low confidence); scene likely represents an urban or suburban pedestrian walkway in a temperate region based on construction style and vegetation. Primary safety concern is the prominent step-like joint across the walking path, especially hazardous in low-light conditions.</t>
  </si>
  <si>
    <t>No clear pedestrians, vehicles in motion, or obvious hazards (like large holes, obstructions, or spills) are visible. The darker patches on the sidewalk appear minor and consistent with normal wear or repairs rather than significant tripping hazards based on what can be seen.</t>
  </si>
  <si>
    <t>Geolocation confidence is low; brick paving and bollard style are common in many urban areas. Nighttime conditions and wet surface justify moderate caution but not an acute emergency.</t>
  </si>
  <si>
    <t>Language on signs appears to be Hebrew, suggesting an Israeli urban residential setting (medium-confidence). Nighttime lighting and visual clutter increase the effective risk of tripping or walking into the debris.</t>
  </si>
  <si>
    <t>Location context is low- to medium-confidence: appears to be a Mediterranean or European-style urban neighborhood at night, inferred from brick sidewalk, cars, and signage. Main safety concern is pedestrian mobility and trip hazard rather than immediate collision risk.</t>
  </si>
  <si>
    <t>Geolocation confidence is low; the brick sidewalk and parked car suggest a generic urban or suburban area. The primary concern is pedestrian safety due to standing water on the main walking route at night.</t>
  </si>
  <si>
    <t>Location context: likely an urban area in a region that uses red-and-white curb markings (e.g., parts of the Middle East or Mediterranean), but confidence is low due to limited cues. The scene appears orderly with no obvious obstructions, damage, or unsafe behavior visible in this single frame.</t>
  </si>
  <si>
    <t>Step 1 – Geolocation &amp; context: This appears to be a well-maintained pedestrian walkway in a temperate or Mediterranean urban/suburban area, inferred from the ornamental plants, trees, and sidewalk design; confidence low to medium. No unusual behaviors, obstructions, or environmental hazards are evident beyond normal parked vehicles separated from the path by a barrier. Lighting seems adequate, and the walkway surface looks even. Therefore, no specific anomalies or abnormal risks are identified in this frame.</t>
  </si>
  <si>
    <t>Location context: likely an urban or suburban area in a temperate or Mediterranean climate, at night; confidence low-medium based on vegetation, signage style, and infrastructure. Barriers and lighting appear appropriate, and no pedestrians or vehicles are present. Surface cracks and light leaf litter are within normal wear conditions and do not constitute notable anomalies in this context.</t>
  </si>
  <si>
    <t>Step 1 – Geolocation &amp; Context: The brick sidewalk, trees, and metal railings suggest a modern urban area, possibly in a temperate or warm climate. No signage or vehicles give clear country cues; confidence is low. Step 2 – Scene Type: Sidewalk/pedestrian zone adjacent to roadway, within a mixed urban environment. Step 3 – Scene Description: Nighttime, well-lit path with good separation from traffic and no visible pedestrians, obstacles, or hazards on the walking surface. Step 5 – Anomaly Detection: The environment appears orderly; no traffic violations, damaged infrastructure, obstructions, or environmental hazards are visible. Lighting seems adequate for night use, and vegetation is controlled. Therefore no abnormal risk is detected beyond normal nighttime urban conditions.</t>
  </si>
  <si>
    <t>Step 1 – Geolocation &amp; Context: The red–white curb paint, brick sidewalk pattern, and European-style yield sign suggest a Mediterranean/European urban area, possibly Israel, but confidence is low to medium. Lighting is adequate and the pedestrian is using the marked crosswalk; vehicles appear to be in designated lanes with no obvious violations or near-conflicts visible in this single frame. Normal nighttime urban traffic and pedestrian conditions; no clear abnormal behavior or infrastructure hazard can be identified from the image alone.</t>
  </si>
  <si>
    <t>Step 1 – Geolocation &amp; context: Likely a developed urban area with right-hand traffic, based on crosswalk style, car positions, and signage; region assessment low-to-medium confidence as there are no clearly legible language clues. Traffic lights show green for pedestrians and red for vehicles, and cars appear stopped behind the crosswalk line. Scene is consistent with normal nighttime intersection use, with no evident traffic violations or environmental hazards. Pedestrians are using the crosswalk correctly, and visibility is adequate due to street lighting, so no abnormal risk is detected from the single frame.</t>
  </si>
  <si>
    <t>Step 1 – Likely a modern urban area in a warm or temperate climate (medium-confidence) based on vegetation, parked vehicles, and street design; exact country can’t be determined. Step 2 – Scene type: sidewalk/pedestrian zone adjacent to roadway within a mixed urban/residential corridor. Step 3 – Environment appears orderly, with adequate separation between sidewalk, path, and parked vehicles. The pavement stain in the foreground is minor and not clearly hazardous; no moving vehicles, pedestrians, or obvious infrastructure damage are visible, so no concrete anomalies or elevated risks can be reliably identified from this single frame.</t>
  </si>
  <si>
    <t>Geolocation confidence is low; this appears to be a generic urban or suburban pedestrian path or roadside in a temperate region, photographed at night under artificial lighting. Risk would increase for elderly or mobility-impaired pedestrians.</t>
  </si>
  <si>
    <t>Geolocation context is low- to medium-confidence; the street, buildings, and curb markings resemble a Mediterranean or Middle Eastern residential urban area. Risk is elevated by low-light conditions and the placement of bulky waste at the curb rather than fully off the pedestrian path.</t>
  </si>
  <si>
    <t>Step 1 – Geolocation &amp; context: License plate format (yellow plates with black text) and urban Mediterranean vegetation suggest this could be in Israel or a similar region; confidence is medium. Environment is a typical mixed urban residential/traffic street at night. Step 2 – Scene type: sidewalk/pedestrian zone adjacent to roadway in a mixed urban residential/commercial area. Step 3 – The scene appears orderly: pedestrians use the sidewalk, cars are properly parked, and there are no visible obstructions, road encroachments, exposed hazards, or unusual behaviors. Lighting seems adequate for night, and tree pits are bordered, reducing trip risk. Therefore no clear anomalies or abnormal risks can be identified from this single frame.</t>
  </si>
  <si>
    <t>User scoring1-10</t>
  </si>
  <si>
    <t xml:space="preserve">there is enough space to pass </t>
  </si>
  <si>
    <t>I like this image</t>
  </si>
  <si>
    <t xml:space="preserve">even for me it's difficult to understand the situation with this duble curbside </t>
  </si>
  <si>
    <t>car is not on sidewalk</t>
  </si>
  <si>
    <t>FP</t>
  </si>
  <si>
    <t>seems normal</t>
  </si>
  <si>
    <t>should be normal but the sidewalk is not "perfect"</t>
  </si>
  <si>
    <t>TP</t>
  </si>
  <si>
    <t>FP, correct description</t>
  </si>
  <si>
    <t>there is something on the sidewalk doesn't looks risky to me</t>
  </si>
  <si>
    <t>agreed that car is on the crosswalk</t>
  </si>
  <si>
    <t>it's normal to have an open car dor</t>
  </si>
  <si>
    <t>FN</t>
  </si>
  <si>
    <t>TN</t>
  </si>
  <si>
    <t>Specificity</t>
  </si>
  <si>
    <t>Accuracy</t>
  </si>
  <si>
    <t>F1</t>
  </si>
  <si>
    <t>Precision</t>
  </si>
  <si>
    <t>Recall</t>
  </si>
  <si>
    <t>Sensitivity=</t>
  </si>
  <si>
    <t>Reasoning average:</t>
  </si>
  <si>
    <t>Image</t>
  </si>
  <si>
    <t>Score</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</si>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</sst>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0" xfId="0" applyFont="1"/>
    <xf numFmtId="0" fontId="1" fillId="0" borderId="0" xfId="0" applyFont="1" applyAlignment="1">
      <alignment horizontal="center" vertical="top"/>
    </xf>
    <xf numFmtId="0" fontId="0" fillId="0" borderId="1" xfId="0" applyBorder="1"/>
    <xf numFmtId="0" fontId="1" fillId="0" borderId="1" xfId="0" applyFont="1" applyBorder="1"/>
    <xf numFmtId="164" fontId="0" fillId="0" borderId="1" xfId="0" applyNumberFormat="1" applyBorder="1"/>
    <xf numFmtId="2" fontId="1" fillId="2"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40" b="0"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rPr>
              <a:t>Score distribution for reasoning 1-10</a:t>
            </a:r>
          </a:p>
          <a:p>
            <a:pPr marL="0" marR="0" lvl="0" indent="0" algn="ctr" defTabSz="914400" rtl="0" eaLnBrk="1" fontAlgn="auto" latinLnBrk="0" hangingPunct="1">
              <a:lnSpc>
                <a:spcPct val="100000"/>
              </a:lnSpc>
              <a:spcBef>
                <a:spcPts val="0"/>
              </a:spcBef>
              <a:spcAft>
                <a:spcPts val="0"/>
              </a:spcAft>
              <a:buClrTx/>
              <a:buSzTx/>
              <a:buFontTx/>
              <a:buNone/>
              <a:tabLst/>
              <a:defRPr sz="1440" b="0" i="0" u="none" strike="noStrike" kern="1200" spc="0" baseline="0">
                <a:solidFill>
                  <a:sysClr val="windowText" lastClr="000000"/>
                </a:solidFill>
                <a:latin typeface="+mn-lt"/>
                <a:ea typeface="+mn-ea"/>
                <a:cs typeface="+mn-cs"/>
              </a:defRPr>
            </a:pPr>
            <a:endParaRPr lang="en-US"/>
          </a:p>
        </c:rich>
      </c:tx>
      <c:layout>
        <c:manualLayout>
          <c:xMode val="edge"/>
          <c:yMode val="edge"/>
          <c:x val="0.21840133239714463"/>
          <c:y val="5.035629030534079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40" b="0" i="0" u="none" strike="noStrike" kern="1200" spc="0" baseline="0">
              <a:solidFill>
                <a:sysClr val="windowText" lastClr="000000"/>
              </a:solidFill>
              <a:latin typeface="+mn-lt"/>
              <a:ea typeface="+mn-ea"/>
              <a:cs typeface="+mn-cs"/>
            </a:defRPr>
          </a:pPr>
          <a:endParaRPr lang="LID4096"/>
        </a:p>
      </c:txPr>
    </c:title>
    <c:autoTitleDeleted val="0"/>
    <c:plotArea>
      <c:layout/>
      <c:barChart>
        <c:barDir val="col"/>
        <c:grouping val="clustered"/>
        <c:varyColors val="0"/>
        <c:ser>
          <c:idx val="1"/>
          <c:order val="0"/>
          <c:tx>
            <c:strRef>
              <c:f>Sheet1!$Q$14</c:f>
              <c:strCache>
                <c:ptCount val="1"/>
                <c:pt idx="0">
                  <c:v>score</c:v>
                </c:pt>
              </c:strCache>
            </c:strRef>
          </c:tx>
          <c:spPr>
            <a:solidFill>
              <a:schemeClr val="accent2"/>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4-C371-48B7-BA1F-1C02CE6962DB}"/>
                </c:ext>
              </c:extLst>
            </c:dLbl>
            <c:dLbl>
              <c:idx val="1"/>
              <c:delete val="1"/>
              <c:extLst>
                <c:ext xmlns:c15="http://schemas.microsoft.com/office/drawing/2012/chart" uri="{CE6537A1-D6FC-4f65-9D91-7224C49458BB}"/>
                <c:ext xmlns:c16="http://schemas.microsoft.com/office/drawing/2014/chart" uri="{C3380CC4-5D6E-409C-BE32-E72D297353CC}">
                  <c16:uniqueId val="{00000003-C371-48B7-BA1F-1C02CE6962DB}"/>
                </c:ext>
              </c:extLst>
            </c:dLbl>
            <c:dLbl>
              <c:idx val="2"/>
              <c:delete val="1"/>
              <c:extLst>
                <c:ext xmlns:c15="http://schemas.microsoft.com/office/drawing/2012/chart" uri="{CE6537A1-D6FC-4f65-9D91-7224C49458BB}"/>
                <c:ext xmlns:c16="http://schemas.microsoft.com/office/drawing/2014/chart" uri="{C3380CC4-5D6E-409C-BE32-E72D297353CC}">
                  <c16:uniqueId val="{00000002-C371-48B7-BA1F-1C02CE6962DB}"/>
                </c:ext>
              </c:extLst>
            </c:dLbl>
            <c:dLbl>
              <c:idx val="4"/>
              <c:delete val="1"/>
              <c:extLst>
                <c:ext xmlns:c15="http://schemas.microsoft.com/office/drawing/2012/chart" uri="{CE6537A1-D6FC-4f65-9D91-7224C49458BB}"/>
                <c:ext xmlns:c16="http://schemas.microsoft.com/office/drawing/2014/chart" uri="{C3380CC4-5D6E-409C-BE32-E72D297353CC}">
                  <c16:uniqueId val="{00000001-C371-48B7-BA1F-1C02CE6962DB}"/>
                </c:ext>
              </c:extLst>
            </c:dLbl>
            <c:dLbl>
              <c:idx val="5"/>
              <c:delete val="1"/>
              <c:extLst>
                <c:ext xmlns:c15="http://schemas.microsoft.com/office/drawing/2012/chart" uri="{CE6537A1-D6FC-4f65-9D91-7224C49458BB}"/>
                <c:ext xmlns:c16="http://schemas.microsoft.com/office/drawing/2014/chart" uri="{C3380CC4-5D6E-409C-BE32-E72D297353CC}">
                  <c16:uniqueId val="{00000000-C371-48B7-BA1F-1C02CE6962DB}"/>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IL"/>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Sheet1!$P$15:$P$24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Sheet1!$Q$15:$Q$24</c:f>
              <c:numCache>
                <c:formatCode>General</c:formatCode>
                <c:ptCount val="10"/>
                <c:pt idx="0">
                  <c:v>0</c:v>
                </c:pt>
                <c:pt idx="1">
                  <c:v>0</c:v>
                </c:pt>
                <c:pt idx="2">
                  <c:v>0</c:v>
                </c:pt>
                <c:pt idx="3">
                  <c:v>3</c:v>
                </c:pt>
                <c:pt idx="4">
                  <c:v>0</c:v>
                </c:pt>
                <c:pt idx="5">
                  <c:v>0</c:v>
                </c:pt>
                <c:pt idx="6">
                  <c:v>1</c:v>
                </c:pt>
                <c:pt idx="7">
                  <c:v>4</c:v>
                </c:pt>
                <c:pt idx="8">
                  <c:v>6</c:v>
                </c:pt>
                <c:pt idx="9">
                  <c:v>252</c:v>
                </c:pt>
              </c:numCache>
            </c:numRef>
          </c:val>
          <c:extLst>
            <c:ext xmlns:c16="http://schemas.microsoft.com/office/drawing/2014/chart" uri="{C3380CC4-5D6E-409C-BE32-E72D297353CC}">
              <c16:uniqueId val="{00000001-ACA0-4F80-9C4C-B15FAC588AF0}"/>
            </c:ext>
          </c:extLst>
        </c:ser>
        <c:dLbls>
          <c:dLblPos val="outEnd"/>
          <c:showLegendKey val="0"/>
          <c:showVal val="1"/>
          <c:showCatName val="0"/>
          <c:showSerName val="0"/>
          <c:showPercent val="0"/>
          <c:showBubbleSize val="0"/>
        </c:dLbls>
        <c:gapWidth val="219"/>
        <c:overlap val="-27"/>
        <c:axId val="1911692512"/>
        <c:axId val="1911687712"/>
      </c:barChart>
      <c:catAx>
        <c:axId val="1911692512"/>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sz="1200" b="0" i="0" u="none" strike="noStrike" kern="1200" baseline="0">
                    <a:solidFill>
                      <a:sysClr val="windowText" lastClr="000000"/>
                    </a:solidFill>
                  </a:rPr>
                  <a:t>Reasoning score</a:t>
                </a:r>
              </a:p>
            </c:rich>
          </c:tx>
          <c:layout>
            <c:manualLayout>
              <c:xMode val="edge"/>
              <c:yMode val="edge"/>
              <c:x val="0.39234122406673694"/>
              <c:y val="0.77758577689101083"/>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IL"/>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LID4096"/>
          </a:p>
        </c:txPr>
        <c:crossAx val="1911687712"/>
        <c:crosses val="autoZero"/>
        <c:auto val="1"/>
        <c:lblAlgn val="ctr"/>
        <c:lblOffset val="100"/>
        <c:noMultiLvlLbl val="0"/>
      </c:catAx>
      <c:valAx>
        <c:axId val="1911687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ysClr val="windowText" lastClr="000000"/>
                    </a:solidFill>
                    <a:latin typeface="+mn-lt"/>
                    <a:ea typeface="+mn-ea"/>
                    <a:cs typeface="+mn-cs"/>
                  </a:defRPr>
                </a:pPr>
                <a:r>
                  <a:rPr lang="en-US"/>
                  <a:t>scoren </a:t>
                </a:r>
                <a:r>
                  <a:rPr lang="en-US" sz="1200" b="0" i="0" u="none" strike="noStrike" kern="1200" baseline="0">
                    <a:solidFill>
                      <a:sysClr val="windowText" lastClr="000000"/>
                    </a:solidFill>
                  </a:rPr>
                  <a:t>distribution (incidence)</a:t>
                </a:r>
              </a:p>
            </c:rich>
          </c:tx>
          <c:layout>
            <c:manualLayout>
              <c:xMode val="edge"/>
              <c:yMode val="edge"/>
              <c:x val="1.8577494692144373E-2"/>
              <c:y val="0.14022660063419673"/>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baseline="0">
                  <a:solidFill>
                    <a:sysClr val="windowText" lastClr="000000"/>
                  </a:solidFill>
                  <a:latin typeface="+mn-lt"/>
                  <a:ea typeface="+mn-ea"/>
                  <a:cs typeface="+mn-cs"/>
                </a:defRPr>
              </a:pPr>
              <a:endParaRPr lang="en-I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ln>
                  <a:noFill/>
                </a:ln>
                <a:solidFill>
                  <a:sysClr val="windowText" lastClr="000000"/>
                </a:solidFill>
                <a:latin typeface="+mn-lt"/>
                <a:ea typeface="+mn-ea"/>
                <a:cs typeface="+mn-cs"/>
              </a:defRPr>
            </a:pPr>
            <a:endParaRPr lang="LID4096"/>
          </a:p>
        </c:txPr>
        <c:crossAx val="1911692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225393</xdr:colOff>
      <xdr:row>1</xdr:row>
      <xdr:rowOff>15240</xdr:rowOff>
    </xdr:from>
    <xdr:to>
      <xdr:col>25</xdr:col>
      <xdr:colOff>408145</xdr:colOff>
      <xdr:row>16</xdr:row>
      <xdr:rowOff>22860</xdr:rowOff>
    </xdr:to>
    <xdr:pic>
      <xdr:nvPicPr>
        <xdr:cNvPr id="2" name="Picture 1" descr="2 x 2 Contingency table and equations for expressing staging ...">
          <a:extLst>
            <a:ext uri="{FF2B5EF4-FFF2-40B4-BE49-F238E27FC236}">
              <a16:creationId xmlns:a16="http://schemas.microsoft.com/office/drawing/2014/main" id="{CC7157B6-8DF8-A4D7-9FB9-FC3D33B3F4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82273" y="198120"/>
          <a:ext cx="2621152" cy="2750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175260</xdr:colOff>
      <xdr:row>27</xdr:row>
      <xdr:rowOff>68580</xdr:rowOff>
    </xdr:from>
    <xdr:to>
      <xdr:col>25</xdr:col>
      <xdr:colOff>404091</xdr:colOff>
      <xdr:row>30</xdr:row>
      <xdr:rowOff>144834</xdr:rowOff>
    </xdr:to>
    <xdr:pic>
      <xdr:nvPicPr>
        <xdr:cNvPr id="4" name="Picture 3">
          <a:extLst>
            <a:ext uri="{FF2B5EF4-FFF2-40B4-BE49-F238E27FC236}">
              <a16:creationId xmlns:a16="http://schemas.microsoft.com/office/drawing/2014/main" id="{B371650E-7F43-23C9-6FF2-AC08FE0FBAB4}"/>
            </a:ext>
          </a:extLst>
        </xdr:cNvPr>
        <xdr:cNvPicPr>
          <a:picLocks noChangeAspect="1"/>
        </xdr:cNvPicPr>
      </xdr:nvPicPr>
      <xdr:blipFill>
        <a:blip xmlns:r="http://schemas.openxmlformats.org/officeDocument/2006/relationships" r:embed="rId2"/>
        <a:stretch>
          <a:fillRect/>
        </a:stretch>
      </xdr:blipFill>
      <xdr:spPr>
        <a:xfrm>
          <a:off x="20932140" y="5006340"/>
          <a:ext cx="2667231" cy="624894"/>
        </a:xfrm>
        <a:prstGeom prst="rect">
          <a:avLst/>
        </a:prstGeom>
      </xdr:spPr>
    </xdr:pic>
    <xdr:clientData/>
  </xdr:twoCellAnchor>
  <xdr:twoCellAnchor>
    <xdr:from>
      <xdr:col>17</xdr:col>
      <xdr:colOff>88900</xdr:colOff>
      <xdr:row>18</xdr:row>
      <xdr:rowOff>69850</xdr:rowOff>
    </xdr:from>
    <xdr:to>
      <xdr:col>24</xdr:col>
      <xdr:colOff>607060</xdr:colOff>
      <xdr:row>33</xdr:row>
      <xdr:rowOff>114300</xdr:rowOff>
    </xdr:to>
    <xdr:graphicFrame macro="">
      <xdr:nvGraphicFramePr>
        <xdr:cNvPr id="5" name="Chart 4">
          <a:extLst>
            <a:ext uri="{FF2B5EF4-FFF2-40B4-BE49-F238E27FC236}">
              <a16:creationId xmlns:a16="http://schemas.microsoft.com/office/drawing/2014/main" id="{829D8B7A-F1AA-F229-FFA2-8EFC8C03D1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7"/>
  <sheetViews>
    <sheetView tabSelected="1" workbookViewId="0">
      <pane xSplit="1" ySplit="1" topLeftCell="H2" activePane="bottomRight" state="frozen"/>
      <selection pane="topRight" activeCell="B1" sqref="B1"/>
      <selection pane="bottomLeft" activeCell="A2" sqref="A2"/>
      <selection pane="bottomRight" activeCell="Q33" sqref="Q33"/>
    </sheetView>
  </sheetViews>
  <sheetFormatPr defaultRowHeight="14.5" x14ac:dyDescent="0.35"/>
  <cols>
    <col min="1" max="1" width="17.81640625" bestFit="1" customWidth="1"/>
    <col min="7" max="7" width="145" bestFit="1" customWidth="1"/>
    <col min="8" max="9" width="1.81640625" customWidth="1"/>
    <col min="10" max="10" width="8.90625" style="2"/>
    <col min="11" max="11" width="1.6328125" customWidth="1"/>
    <col min="12" max="12" width="10" customWidth="1"/>
    <col min="13" max="13" width="10.1796875" customWidth="1"/>
    <col min="17" max="17" width="17.08984375" bestFit="1" customWidth="1"/>
  </cols>
  <sheetData>
    <row r="1" spans="1:20" x14ac:dyDescent="0.35">
      <c r="A1" s="1" t="s">
        <v>0</v>
      </c>
      <c r="B1" s="1" t="s">
        <v>1</v>
      </c>
      <c r="C1" s="1" t="s">
        <v>2</v>
      </c>
      <c r="D1" s="1" t="s">
        <v>3</v>
      </c>
      <c r="E1" s="1" t="s">
        <v>4</v>
      </c>
      <c r="F1" s="1" t="s">
        <v>0</v>
      </c>
      <c r="G1" s="1" t="s">
        <v>5</v>
      </c>
      <c r="H1" s="1" t="s">
        <v>6</v>
      </c>
      <c r="I1" s="1" t="s">
        <v>7</v>
      </c>
      <c r="J1" s="1" t="s">
        <v>8</v>
      </c>
      <c r="K1" s="1" t="s">
        <v>9</v>
      </c>
      <c r="L1" s="3" t="s">
        <v>1510</v>
      </c>
      <c r="M1" s="3" t="s">
        <v>1488</v>
      </c>
    </row>
    <row r="2" spans="1:20" x14ac:dyDescent="0.35">
      <c r="A2" t="s">
        <v>225</v>
      </c>
      <c r="B2" t="s">
        <v>276</v>
      </c>
      <c r="C2" t="s">
        <v>492</v>
      </c>
      <c r="E2" t="s">
        <v>543</v>
      </c>
      <c r="F2" t="s">
        <v>225</v>
      </c>
      <c r="G2" t="s">
        <v>757</v>
      </c>
      <c r="H2" t="s">
        <v>1023</v>
      </c>
      <c r="I2" t="s">
        <v>1196</v>
      </c>
      <c r="J2" s="2">
        <v>6</v>
      </c>
      <c r="K2" t="s">
        <v>1437</v>
      </c>
      <c r="L2" t="str">
        <f>LEFT(RIGHT(A2,7),3)</f>
        <v>001</v>
      </c>
      <c r="M2">
        <v>10</v>
      </c>
      <c r="R2" s="5"/>
      <c r="S2" s="5" t="s">
        <v>1496</v>
      </c>
      <c r="T2" s="5" t="s">
        <v>1502</v>
      </c>
    </row>
    <row r="3" spans="1:20" x14ac:dyDescent="0.35">
      <c r="A3" t="s">
        <v>165</v>
      </c>
      <c r="B3" t="s">
        <v>276</v>
      </c>
      <c r="C3" t="s">
        <v>432</v>
      </c>
      <c r="E3" t="s">
        <v>543</v>
      </c>
      <c r="F3" t="s">
        <v>165</v>
      </c>
      <c r="G3" t="s">
        <v>697</v>
      </c>
      <c r="H3" t="s">
        <v>963</v>
      </c>
      <c r="I3" t="s">
        <v>1160</v>
      </c>
      <c r="J3" s="2">
        <v>5</v>
      </c>
      <c r="K3" t="s">
        <v>1377</v>
      </c>
      <c r="L3" t="str">
        <f t="shared" ref="L3:L66" si="0">LEFT(RIGHT(A3,7),3)</f>
        <v>002</v>
      </c>
      <c r="M3">
        <v>10</v>
      </c>
      <c r="R3" s="5" t="s">
        <v>1493</v>
      </c>
      <c r="S3" s="5">
        <v>131</v>
      </c>
      <c r="T3" s="5">
        <v>10</v>
      </c>
    </row>
    <row r="4" spans="1:20" x14ac:dyDescent="0.35">
      <c r="A4" t="s">
        <v>10</v>
      </c>
      <c r="B4" t="s">
        <v>276</v>
      </c>
      <c r="C4" t="s">
        <v>277</v>
      </c>
      <c r="E4" t="s">
        <v>543</v>
      </c>
      <c r="F4" t="s">
        <v>10</v>
      </c>
      <c r="G4" t="s">
        <v>544</v>
      </c>
      <c r="H4" t="s">
        <v>808</v>
      </c>
      <c r="I4" t="s">
        <v>1074</v>
      </c>
      <c r="J4" s="2">
        <v>6</v>
      </c>
      <c r="K4" t="s">
        <v>1222</v>
      </c>
      <c r="L4" t="str">
        <f t="shared" si="0"/>
        <v>003</v>
      </c>
      <c r="M4">
        <v>10</v>
      </c>
      <c r="R4" s="5" t="s">
        <v>1501</v>
      </c>
      <c r="S4" s="5">
        <v>2</v>
      </c>
      <c r="T4" s="5">
        <v>123</v>
      </c>
    </row>
    <row r="5" spans="1:20" x14ac:dyDescent="0.35">
      <c r="A5" t="s">
        <v>52</v>
      </c>
      <c r="B5" t="s">
        <v>276</v>
      </c>
      <c r="C5" t="s">
        <v>319</v>
      </c>
      <c r="E5" t="s">
        <v>543</v>
      </c>
      <c r="F5" t="s">
        <v>52</v>
      </c>
      <c r="G5" t="s">
        <v>586</v>
      </c>
      <c r="H5" t="s">
        <v>850</v>
      </c>
      <c r="I5" t="s">
        <v>1101</v>
      </c>
      <c r="J5" s="2">
        <v>5</v>
      </c>
      <c r="K5" t="s">
        <v>1264</v>
      </c>
      <c r="L5" t="str">
        <f t="shared" si="0"/>
        <v>004</v>
      </c>
      <c r="M5">
        <v>10</v>
      </c>
    </row>
    <row r="6" spans="1:20" x14ac:dyDescent="0.35">
      <c r="A6" t="s">
        <v>71</v>
      </c>
      <c r="B6" t="s">
        <v>276</v>
      </c>
      <c r="C6" t="s">
        <v>338</v>
      </c>
      <c r="E6" t="s">
        <v>543</v>
      </c>
      <c r="F6" t="s">
        <v>71</v>
      </c>
      <c r="G6" t="s">
        <v>604</v>
      </c>
      <c r="H6" t="s">
        <v>869</v>
      </c>
      <c r="I6" t="s">
        <v>1111</v>
      </c>
      <c r="J6" s="2">
        <v>5</v>
      </c>
      <c r="K6" t="s">
        <v>1283</v>
      </c>
      <c r="L6" t="str">
        <f t="shared" si="0"/>
        <v>005</v>
      </c>
      <c r="M6">
        <v>10</v>
      </c>
      <c r="Q6" t="s">
        <v>1508</v>
      </c>
      <c r="R6" s="4" t="s">
        <v>1507</v>
      </c>
      <c r="S6" s="6">
        <f>S3/(S3+S4)</f>
        <v>0.98496240601503759</v>
      </c>
    </row>
    <row r="7" spans="1:20" x14ac:dyDescent="0.35">
      <c r="A7" t="s">
        <v>60</v>
      </c>
      <c r="B7" t="s">
        <v>276</v>
      </c>
      <c r="C7" t="s">
        <v>327</v>
      </c>
      <c r="E7" t="s">
        <v>543</v>
      </c>
      <c r="F7" t="s">
        <v>60</v>
      </c>
      <c r="G7" t="s">
        <v>594</v>
      </c>
      <c r="H7" t="s">
        <v>858</v>
      </c>
      <c r="I7" t="s">
        <v>1105</v>
      </c>
      <c r="J7" s="2">
        <v>6</v>
      </c>
      <c r="K7" t="s">
        <v>1272</v>
      </c>
      <c r="L7" t="str">
        <f t="shared" si="0"/>
        <v>006</v>
      </c>
      <c r="M7">
        <v>10</v>
      </c>
      <c r="R7" s="4" t="s">
        <v>1503</v>
      </c>
      <c r="S7" s="6">
        <f>T4/(T3+T4)</f>
        <v>0.92481203007518797</v>
      </c>
    </row>
    <row r="8" spans="1:20" x14ac:dyDescent="0.35">
      <c r="A8" t="s">
        <v>138</v>
      </c>
      <c r="B8" t="s">
        <v>276</v>
      </c>
      <c r="C8" t="s">
        <v>405</v>
      </c>
      <c r="E8" t="s">
        <v>543</v>
      </c>
      <c r="F8" t="s">
        <v>138</v>
      </c>
      <c r="G8" t="s">
        <v>670</v>
      </c>
      <c r="H8" t="s">
        <v>936</v>
      </c>
      <c r="I8" t="s">
        <v>1144</v>
      </c>
      <c r="J8" s="2">
        <v>6</v>
      </c>
      <c r="K8" t="s">
        <v>1350</v>
      </c>
      <c r="L8" t="str">
        <f t="shared" si="0"/>
        <v>007</v>
      </c>
      <c r="M8">
        <v>10</v>
      </c>
      <c r="R8" s="4" t="s">
        <v>1504</v>
      </c>
      <c r="S8" s="6">
        <f>(S3+T4)/SUM(S3:T4)</f>
        <v>0.95488721804511278</v>
      </c>
    </row>
    <row r="9" spans="1:20" x14ac:dyDescent="0.35">
      <c r="A9" t="s">
        <v>97</v>
      </c>
      <c r="B9" t="s">
        <v>276</v>
      </c>
      <c r="C9" t="s">
        <v>364</v>
      </c>
      <c r="E9" t="s">
        <v>543</v>
      </c>
      <c r="F9" t="s">
        <v>97</v>
      </c>
      <c r="G9" t="s">
        <v>630</v>
      </c>
      <c r="H9" t="s">
        <v>895</v>
      </c>
      <c r="I9" t="s">
        <v>1125</v>
      </c>
      <c r="J9" s="2">
        <v>6</v>
      </c>
      <c r="K9" t="s">
        <v>1309</v>
      </c>
      <c r="L9" t="str">
        <f t="shared" si="0"/>
        <v>008</v>
      </c>
      <c r="M9">
        <v>10</v>
      </c>
      <c r="R9" s="4" t="s">
        <v>1506</v>
      </c>
      <c r="S9" s="6">
        <f>S3/(S3+T3)</f>
        <v>0.92907801418439717</v>
      </c>
    </row>
    <row r="10" spans="1:20" x14ac:dyDescent="0.35">
      <c r="A10" t="s">
        <v>139</v>
      </c>
      <c r="B10" t="s">
        <v>276</v>
      </c>
      <c r="C10" t="s">
        <v>406</v>
      </c>
      <c r="E10" t="s">
        <v>543</v>
      </c>
      <c r="F10" t="s">
        <v>139</v>
      </c>
      <c r="G10" t="s">
        <v>671</v>
      </c>
      <c r="H10" t="s">
        <v>937</v>
      </c>
      <c r="I10" t="s">
        <v>1145</v>
      </c>
      <c r="J10" s="2">
        <v>6</v>
      </c>
      <c r="K10" t="s">
        <v>1351</v>
      </c>
      <c r="L10" t="str">
        <f t="shared" si="0"/>
        <v>009</v>
      </c>
      <c r="M10">
        <v>10</v>
      </c>
      <c r="R10" s="4" t="s">
        <v>1505</v>
      </c>
      <c r="S10" s="6">
        <f>2*(S9*S6)/(S9+S6)</f>
        <v>0.95620437956204374</v>
      </c>
    </row>
    <row r="11" spans="1:20" x14ac:dyDescent="0.35">
      <c r="A11" t="s">
        <v>147</v>
      </c>
      <c r="B11" t="s">
        <v>276</v>
      </c>
      <c r="C11" t="s">
        <v>414</v>
      </c>
      <c r="E11" t="s">
        <v>543</v>
      </c>
      <c r="F11" t="s">
        <v>147</v>
      </c>
      <c r="G11" t="s">
        <v>679</v>
      </c>
      <c r="H11" t="s">
        <v>945</v>
      </c>
      <c r="I11" t="s">
        <v>1149</v>
      </c>
      <c r="J11" s="2">
        <v>6</v>
      </c>
      <c r="K11" t="s">
        <v>1359</v>
      </c>
      <c r="L11" t="str">
        <f t="shared" si="0"/>
        <v>010</v>
      </c>
      <c r="M11">
        <v>10</v>
      </c>
    </row>
    <row r="12" spans="1:20" x14ac:dyDescent="0.35">
      <c r="A12" t="s">
        <v>264</v>
      </c>
      <c r="B12" t="s">
        <v>276</v>
      </c>
      <c r="C12" t="s">
        <v>531</v>
      </c>
      <c r="E12" t="s">
        <v>543</v>
      </c>
      <c r="F12" t="s">
        <v>264</v>
      </c>
      <c r="G12" t="s">
        <v>796</v>
      </c>
      <c r="H12" t="s">
        <v>1062</v>
      </c>
      <c r="I12" t="s">
        <v>1218</v>
      </c>
      <c r="J12" s="2">
        <v>5</v>
      </c>
      <c r="K12" t="s">
        <v>1476</v>
      </c>
      <c r="L12" t="str">
        <f t="shared" si="0"/>
        <v>011</v>
      </c>
      <c r="M12">
        <v>10</v>
      </c>
      <c r="Q12" t="s">
        <v>1509</v>
      </c>
      <c r="S12" s="7">
        <f>AVERAGE(M2:M267)</f>
        <v>9.8684210526315788</v>
      </c>
    </row>
    <row r="13" spans="1:20" x14ac:dyDescent="0.35">
      <c r="A13" t="s">
        <v>19</v>
      </c>
      <c r="B13" t="s">
        <v>276</v>
      </c>
      <c r="C13" t="s">
        <v>286</v>
      </c>
      <c r="E13" t="s">
        <v>543</v>
      </c>
      <c r="F13" t="s">
        <v>19</v>
      </c>
      <c r="G13" t="s">
        <v>553</v>
      </c>
      <c r="H13" t="s">
        <v>817</v>
      </c>
      <c r="I13" t="s">
        <v>1082</v>
      </c>
      <c r="J13" s="2">
        <v>6</v>
      </c>
      <c r="K13" t="s">
        <v>1231</v>
      </c>
      <c r="L13" t="str">
        <f t="shared" si="0"/>
        <v>012</v>
      </c>
      <c r="M13">
        <v>10</v>
      </c>
    </row>
    <row r="14" spans="1:20" x14ac:dyDescent="0.35">
      <c r="A14" t="s">
        <v>211</v>
      </c>
      <c r="B14" t="s">
        <v>276</v>
      </c>
      <c r="C14" t="s">
        <v>478</v>
      </c>
      <c r="E14" t="s">
        <v>543</v>
      </c>
      <c r="F14" t="s">
        <v>211</v>
      </c>
      <c r="G14" t="s">
        <v>743</v>
      </c>
      <c r="H14" t="s">
        <v>1009</v>
      </c>
      <c r="I14" t="s">
        <v>1186</v>
      </c>
      <c r="J14" s="2">
        <v>6</v>
      </c>
      <c r="K14" t="s">
        <v>1423</v>
      </c>
      <c r="L14" t="str">
        <f t="shared" si="0"/>
        <v>013</v>
      </c>
      <c r="M14">
        <v>10</v>
      </c>
      <c r="P14" s="4" t="s">
        <v>1511</v>
      </c>
      <c r="Q14" s="4" t="s">
        <v>1512</v>
      </c>
    </row>
    <row r="15" spans="1:20" x14ac:dyDescent="0.35">
      <c r="A15" t="s">
        <v>208</v>
      </c>
      <c r="B15" t="s">
        <v>276</v>
      </c>
      <c r="C15" t="s">
        <v>475</v>
      </c>
      <c r="E15" t="s">
        <v>543</v>
      </c>
      <c r="F15" t="s">
        <v>208</v>
      </c>
      <c r="G15" t="s">
        <v>740</v>
      </c>
      <c r="H15" t="s">
        <v>1006</v>
      </c>
      <c r="I15" t="s">
        <v>1184</v>
      </c>
      <c r="J15" s="2">
        <v>6</v>
      </c>
      <c r="K15" t="s">
        <v>1420</v>
      </c>
      <c r="L15" t="str">
        <f t="shared" si="0"/>
        <v>014</v>
      </c>
      <c r="M15">
        <v>10</v>
      </c>
      <c r="P15" s="4">
        <v>1</v>
      </c>
      <c r="Q15" s="4">
        <f t="shared" ref="Q15:Q24" si="1">COUNTIF($M:$M,P15)</f>
        <v>0</v>
      </c>
    </row>
    <row r="16" spans="1:20" x14ac:dyDescent="0.35">
      <c r="A16" t="s">
        <v>247</v>
      </c>
      <c r="B16" t="s">
        <v>276</v>
      </c>
      <c r="C16" t="s">
        <v>514</v>
      </c>
      <c r="E16" t="s">
        <v>543</v>
      </c>
      <c r="F16" t="s">
        <v>247</v>
      </c>
      <c r="G16" t="s">
        <v>779</v>
      </c>
      <c r="H16" t="s">
        <v>1045</v>
      </c>
      <c r="I16" t="s">
        <v>1208</v>
      </c>
      <c r="J16" s="2">
        <v>6</v>
      </c>
      <c r="K16" t="s">
        <v>1459</v>
      </c>
      <c r="L16" t="str">
        <f t="shared" si="0"/>
        <v>015</v>
      </c>
      <c r="M16">
        <v>10</v>
      </c>
      <c r="P16" s="4">
        <v>2</v>
      </c>
      <c r="Q16" s="4">
        <f t="shared" si="1"/>
        <v>0</v>
      </c>
    </row>
    <row r="17" spans="1:17" x14ac:dyDescent="0.35">
      <c r="A17" t="s">
        <v>64</v>
      </c>
      <c r="B17" t="s">
        <v>276</v>
      </c>
      <c r="C17" t="s">
        <v>331</v>
      </c>
      <c r="E17" t="s">
        <v>543</v>
      </c>
      <c r="F17" t="s">
        <v>64</v>
      </c>
      <c r="G17" t="s">
        <v>597</v>
      </c>
      <c r="H17" t="s">
        <v>862</v>
      </c>
      <c r="I17" t="s">
        <v>1106</v>
      </c>
      <c r="J17" s="2">
        <v>6</v>
      </c>
      <c r="K17" t="s">
        <v>1276</v>
      </c>
      <c r="L17" t="str">
        <f t="shared" si="0"/>
        <v>016</v>
      </c>
      <c r="M17">
        <v>10</v>
      </c>
      <c r="P17" s="4">
        <v>3</v>
      </c>
      <c r="Q17" s="4">
        <f t="shared" si="1"/>
        <v>0</v>
      </c>
    </row>
    <row r="18" spans="1:17" x14ac:dyDescent="0.35">
      <c r="A18" t="s">
        <v>83</v>
      </c>
      <c r="B18" t="s">
        <v>276</v>
      </c>
      <c r="C18" t="s">
        <v>350</v>
      </c>
      <c r="E18" t="s">
        <v>543</v>
      </c>
      <c r="F18" t="s">
        <v>83</v>
      </c>
      <c r="G18" t="s">
        <v>616</v>
      </c>
      <c r="H18" t="s">
        <v>881</v>
      </c>
      <c r="I18" t="s">
        <v>1115</v>
      </c>
      <c r="J18" s="2">
        <v>6</v>
      </c>
      <c r="K18" t="s">
        <v>1295</v>
      </c>
      <c r="L18" t="str">
        <f t="shared" si="0"/>
        <v>017</v>
      </c>
      <c r="M18">
        <v>10</v>
      </c>
      <c r="P18" s="4">
        <v>4</v>
      </c>
      <c r="Q18" s="4">
        <f t="shared" si="1"/>
        <v>3</v>
      </c>
    </row>
    <row r="19" spans="1:17" x14ac:dyDescent="0.35">
      <c r="A19" t="s">
        <v>150</v>
      </c>
      <c r="B19" t="s">
        <v>276</v>
      </c>
      <c r="C19" t="s">
        <v>417</v>
      </c>
      <c r="E19" t="s">
        <v>543</v>
      </c>
      <c r="F19" t="s">
        <v>150</v>
      </c>
      <c r="G19" t="s">
        <v>682</v>
      </c>
      <c r="H19" t="s">
        <v>948</v>
      </c>
      <c r="I19" t="s">
        <v>1151</v>
      </c>
      <c r="J19" s="2">
        <v>5</v>
      </c>
      <c r="K19" t="s">
        <v>1362</v>
      </c>
      <c r="L19" t="str">
        <f t="shared" si="0"/>
        <v>018</v>
      </c>
      <c r="M19">
        <v>10</v>
      </c>
      <c r="P19" s="4">
        <v>5</v>
      </c>
      <c r="Q19" s="4">
        <f t="shared" si="1"/>
        <v>0</v>
      </c>
    </row>
    <row r="20" spans="1:17" x14ac:dyDescent="0.35">
      <c r="A20" t="s">
        <v>121</v>
      </c>
      <c r="B20" t="s">
        <v>276</v>
      </c>
      <c r="C20" t="s">
        <v>388</v>
      </c>
      <c r="E20" t="s">
        <v>543</v>
      </c>
      <c r="F20" t="s">
        <v>121</v>
      </c>
      <c r="G20" t="s">
        <v>654</v>
      </c>
      <c r="H20" t="s">
        <v>919</v>
      </c>
      <c r="I20" t="s">
        <v>1135</v>
      </c>
      <c r="J20" s="2">
        <v>6</v>
      </c>
      <c r="K20" t="s">
        <v>1333</v>
      </c>
      <c r="L20" t="str">
        <f t="shared" si="0"/>
        <v>019</v>
      </c>
      <c r="M20">
        <v>10</v>
      </c>
      <c r="P20" s="4">
        <v>6</v>
      </c>
      <c r="Q20" s="4">
        <f t="shared" si="1"/>
        <v>0</v>
      </c>
    </row>
    <row r="21" spans="1:17" x14ac:dyDescent="0.35">
      <c r="A21" t="s">
        <v>11</v>
      </c>
      <c r="B21" t="s">
        <v>276</v>
      </c>
      <c r="C21" t="s">
        <v>278</v>
      </c>
      <c r="E21" t="s">
        <v>543</v>
      </c>
      <c r="F21" t="s">
        <v>11</v>
      </c>
      <c r="G21" t="s">
        <v>545</v>
      </c>
      <c r="H21" t="s">
        <v>809</v>
      </c>
      <c r="I21" t="s">
        <v>1075</v>
      </c>
      <c r="J21" s="2">
        <v>6</v>
      </c>
      <c r="K21" t="s">
        <v>1223</v>
      </c>
      <c r="L21" t="str">
        <f t="shared" si="0"/>
        <v>020</v>
      </c>
      <c r="M21">
        <v>10</v>
      </c>
      <c r="P21" s="4">
        <v>7</v>
      </c>
      <c r="Q21" s="4">
        <f t="shared" si="1"/>
        <v>1</v>
      </c>
    </row>
    <row r="22" spans="1:17" x14ac:dyDescent="0.35">
      <c r="A22" t="s">
        <v>169</v>
      </c>
      <c r="B22" t="s">
        <v>276</v>
      </c>
      <c r="C22" t="s">
        <v>436</v>
      </c>
      <c r="E22" t="s">
        <v>543</v>
      </c>
      <c r="F22" t="s">
        <v>169</v>
      </c>
      <c r="G22" t="s">
        <v>701</v>
      </c>
      <c r="H22" t="s">
        <v>967</v>
      </c>
      <c r="I22" t="s">
        <v>1163</v>
      </c>
      <c r="J22" s="2">
        <v>6</v>
      </c>
      <c r="K22" t="s">
        <v>1381</v>
      </c>
      <c r="L22" t="str">
        <f t="shared" si="0"/>
        <v>021</v>
      </c>
      <c r="M22">
        <v>10</v>
      </c>
      <c r="P22" s="4">
        <v>8</v>
      </c>
      <c r="Q22" s="4">
        <f t="shared" si="1"/>
        <v>4</v>
      </c>
    </row>
    <row r="23" spans="1:17" x14ac:dyDescent="0.35">
      <c r="A23" t="s">
        <v>209</v>
      </c>
      <c r="B23" t="s">
        <v>276</v>
      </c>
      <c r="C23" t="s">
        <v>476</v>
      </c>
      <c r="E23" t="s">
        <v>543</v>
      </c>
      <c r="F23" t="s">
        <v>209</v>
      </c>
      <c r="G23" t="s">
        <v>741</v>
      </c>
      <c r="H23" t="s">
        <v>1007</v>
      </c>
      <c r="I23" t="s">
        <v>1185</v>
      </c>
      <c r="J23" s="2">
        <v>4</v>
      </c>
      <c r="K23" t="s">
        <v>1421</v>
      </c>
      <c r="L23" t="str">
        <f t="shared" si="0"/>
        <v>022</v>
      </c>
      <c r="M23">
        <v>10</v>
      </c>
      <c r="P23" s="4">
        <v>9</v>
      </c>
      <c r="Q23" s="4">
        <f t="shared" si="1"/>
        <v>6</v>
      </c>
    </row>
    <row r="24" spans="1:17" x14ac:dyDescent="0.35">
      <c r="A24" t="s">
        <v>173</v>
      </c>
      <c r="B24" t="s">
        <v>276</v>
      </c>
      <c r="C24" t="s">
        <v>440</v>
      </c>
      <c r="E24" t="s">
        <v>543</v>
      </c>
      <c r="F24" t="s">
        <v>173</v>
      </c>
      <c r="G24" t="s">
        <v>705</v>
      </c>
      <c r="H24" t="s">
        <v>971</v>
      </c>
      <c r="I24" t="s">
        <v>1166</v>
      </c>
      <c r="J24" s="2">
        <v>4</v>
      </c>
      <c r="K24" t="s">
        <v>1385</v>
      </c>
      <c r="L24" t="str">
        <f t="shared" si="0"/>
        <v>023</v>
      </c>
      <c r="M24">
        <v>10</v>
      </c>
      <c r="P24" s="4">
        <v>10</v>
      </c>
      <c r="Q24" s="4">
        <f t="shared" si="1"/>
        <v>252</v>
      </c>
    </row>
    <row r="25" spans="1:17" x14ac:dyDescent="0.35">
      <c r="A25" t="s">
        <v>162</v>
      </c>
      <c r="B25" t="s">
        <v>276</v>
      </c>
      <c r="C25" t="s">
        <v>429</v>
      </c>
      <c r="E25" t="s">
        <v>543</v>
      </c>
      <c r="F25" t="s">
        <v>162</v>
      </c>
      <c r="G25" t="s">
        <v>694</v>
      </c>
      <c r="H25" t="s">
        <v>960</v>
      </c>
      <c r="I25" t="s">
        <v>1157</v>
      </c>
      <c r="J25" s="2">
        <v>4</v>
      </c>
      <c r="K25" t="s">
        <v>1374</v>
      </c>
      <c r="L25" t="str">
        <f t="shared" si="0"/>
        <v>024</v>
      </c>
      <c r="M25">
        <v>10</v>
      </c>
    </row>
    <row r="26" spans="1:17" x14ac:dyDescent="0.35">
      <c r="A26" t="s">
        <v>179</v>
      </c>
      <c r="B26" t="s">
        <v>276</v>
      </c>
      <c r="C26" t="s">
        <v>446</v>
      </c>
      <c r="E26" t="s">
        <v>543</v>
      </c>
      <c r="F26" t="s">
        <v>179</v>
      </c>
      <c r="G26" t="s">
        <v>711</v>
      </c>
      <c r="H26" t="s">
        <v>977</v>
      </c>
      <c r="I26" t="s">
        <v>1171</v>
      </c>
      <c r="J26" s="2">
        <v>4</v>
      </c>
      <c r="K26" t="s">
        <v>1391</v>
      </c>
      <c r="L26" t="str">
        <f t="shared" si="0"/>
        <v>025</v>
      </c>
      <c r="M26">
        <v>10</v>
      </c>
    </row>
    <row r="27" spans="1:17" x14ac:dyDescent="0.35">
      <c r="A27" t="s">
        <v>252</v>
      </c>
      <c r="B27" t="s">
        <v>276</v>
      </c>
      <c r="C27" t="s">
        <v>519</v>
      </c>
      <c r="E27" t="s">
        <v>543</v>
      </c>
      <c r="F27" t="s">
        <v>252</v>
      </c>
      <c r="G27" t="s">
        <v>784</v>
      </c>
      <c r="H27" t="s">
        <v>1050</v>
      </c>
      <c r="I27" t="s">
        <v>1212</v>
      </c>
      <c r="J27" s="2">
        <v>5</v>
      </c>
      <c r="K27" t="s">
        <v>1464</v>
      </c>
      <c r="L27" t="str">
        <f t="shared" si="0"/>
        <v>026</v>
      </c>
      <c r="M27">
        <v>10</v>
      </c>
    </row>
    <row r="28" spans="1:17" x14ac:dyDescent="0.35">
      <c r="A28" t="s">
        <v>68</v>
      </c>
      <c r="B28" t="s">
        <v>276</v>
      </c>
      <c r="C28" t="s">
        <v>335</v>
      </c>
      <c r="E28" t="s">
        <v>543</v>
      </c>
      <c r="F28" t="s">
        <v>68</v>
      </c>
      <c r="G28" t="s">
        <v>601</v>
      </c>
      <c r="H28" t="s">
        <v>866</v>
      </c>
      <c r="I28" t="s">
        <v>1109</v>
      </c>
      <c r="J28" s="2">
        <v>4</v>
      </c>
      <c r="K28" t="s">
        <v>1280</v>
      </c>
      <c r="L28" t="str">
        <f t="shared" si="0"/>
        <v>027</v>
      </c>
      <c r="M28">
        <v>10</v>
      </c>
    </row>
    <row r="29" spans="1:17" x14ac:dyDescent="0.35">
      <c r="A29" t="s">
        <v>265</v>
      </c>
      <c r="B29" t="s">
        <v>276</v>
      </c>
      <c r="C29" t="s">
        <v>532</v>
      </c>
      <c r="E29" t="s">
        <v>543</v>
      </c>
      <c r="F29" t="s">
        <v>265</v>
      </c>
      <c r="G29" t="s">
        <v>797</v>
      </c>
      <c r="H29" t="s">
        <v>1063</v>
      </c>
      <c r="I29" t="s">
        <v>1219</v>
      </c>
      <c r="J29" s="2">
        <v>5</v>
      </c>
      <c r="K29" t="s">
        <v>1477</v>
      </c>
      <c r="L29" t="str">
        <f t="shared" si="0"/>
        <v>028</v>
      </c>
      <c r="M29">
        <v>10</v>
      </c>
    </row>
    <row r="30" spans="1:17" x14ac:dyDescent="0.35">
      <c r="A30" t="s">
        <v>182</v>
      </c>
      <c r="B30" t="s">
        <v>276</v>
      </c>
      <c r="C30" t="s">
        <v>449</v>
      </c>
      <c r="E30" t="s">
        <v>543</v>
      </c>
      <c r="F30" t="s">
        <v>182</v>
      </c>
      <c r="G30" t="s">
        <v>714</v>
      </c>
      <c r="H30" t="s">
        <v>980</v>
      </c>
      <c r="I30" t="s">
        <v>1173</v>
      </c>
      <c r="J30" s="2">
        <v>4</v>
      </c>
      <c r="K30" t="s">
        <v>1394</v>
      </c>
      <c r="L30" t="str">
        <f t="shared" si="0"/>
        <v>029</v>
      </c>
      <c r="M30">
        <v>10</v>
      </c>
    </row>
    <row r="31" spans="1:17" x14ac:dyDescent="0.35">
      <c r="A31" t="s">
        <v>46</v>
      </c>
      <c r="B31" t="s">
        <v>276</v>
      </c>
      <c r="C31" t="s">
        <v>313</v>
      </c>
      <c r="E31" t="s">
        <v>543</v>
      </c>
      <c r="F31" t="s">
        <v>46</v>
      </c>
      <c r="G31" t="s">
        <v>580</v>
      </c>
      <c r="H31" t="s">
        <v>844</v>
      </c>
      <c r="I31" t="s">
        <v>1095</v>
      </c>
      <c r="J31" s="2">
        <v>4</v>
      </c>
      <c r="K31" t="s">
        <v>1258</v>
      </c>
      <c r="L31" t="str">
        <f t="shared" si="0"/>
        <v>030</v>
      </c>
      <c r="M31">
        <v>10</v>
      </c>
    </row>
    <row r="32" spans="1:17" x14ac:dyDescent="0.35">
      <c r="A32" t="s">
        <v>56</v>
      </c>
      <c r="B32" t="s">
        <v>276</v>
      </c>
      <c r="C32" t="s">
        <v>323</v>
      </c>
      <c r="E32" t="s">
        <v>543</v>
      </c>
      <c r="F32" t="s">
        <v>56</v>
      </c>
      <c r="G32" t="s">
        <v>590</v>
      </c>
      <c r="H32" t="s">
        <v>854</v>
      </c>
      <c r="I32" t="s">
        <v>1103</v>
      </c>
      <c r="J32" s="2">
        <v>4</v>
      </c>
      <c r="K32" t="s">
        <v>1268</v>
      </c>
      <c r="L32" t="str">
        <f t="shared" si="0"/>
        <v>031</v>
      </c>
      <c r="M32">
        <v>10</v>
      </c>
    </row>
    <row r="33" spans="1:13" x14ac:dyDescent="0.35">
      <c r="A33" t="s">
        <v>217</v>
      </c>
      <c r="B33" t="s">
        <v>276</v>
      </c>
      <c r="C33" t="s">
        <v>484</v>
      </c>
      <c r="E33" t="s">
        <v>543</v>
      </c>
      <c r="F33" t="s">
        <v>217</v>
      </c>
      <c r="G33" t="s">
        <v>749</v>
      </c>
      <c r="H33" t="s">
        <v>1015</v>
      </c>
      <c r="I33" t="s">
        <v>1191</v>
      </c>
      <c r="J33" s="2">
        <v>5</v>
      </c>
      <c r="K33" t="s">
        <v>1429</v>
      </c>
      <c r="L33" t="str">
        <f t="shared" si="0"/>
        <v>032</v>
      </c>
      <c r="M33">
        <v>10</v>
      </c>
    </row>
    <row r="34" spans="1:13" x14ac:dyDescent="0.35">
      <c r="A34" t="s">
        <v>262</v>
      </c>
      <c r="B34" t="s">
        <v>276</v>
      </c>
      <c r="C34" t="s">
        <v>529</v>
      </c>
      <c r="E34" t="s">
        <v>543</v>
      </c>
      <c r="F34" t="s">
        <v>262</v>
      </c>
      <c r="G34" t="s">
        <v>794</v>
      </c>
      <c r="H34" t="s">
        <v>1060</v>
      </c>
      <c r="I34" t="s">
        <v>1216</v>
      </c>
      <c r="J34" s="2">
        <v>4</v>
      </c>
      <c r="K34" t="s">
        <v>1474</v>
      </c>
      <c r="L34" t="str">
        <f t="shared" si="0"/>
        <v>033</v>
      </c>
      <c r="M34">
        <v>10</v>
      </c>
    </row>
    <row r="35" spans="1:13" x14ac:dyDescent="0.35">
      <c r="A35" t="s">
        <v>215</v>
      </c>
      <c r="B35" t="s">
        <v>276</v>
      </c>
      <c r="C35" t="s">
        <v>482</v>
      </c>
      <c r="E35" t="s">
        <v>543</v>
      </c>
      <c r="F35" t="s">
        <v>215</v>
      </c>
      <c r="G35" t="s">
        <v>747</v>
      </c>
      <c r="H35" t="s">
        <v>1013</v>
      </c>
      <c r="I35" t="s">
        <v>1189</v>
      </c>
      <c r="J35" s="2">
        <v>4</v>
      </c>
      <c r="K35" t="s">
        <v>1427</v>
      </c>
      <c r="L35" t="str">
        <f t="shared" si="0"/>
        <v>034</v>
      </c>
      <c r="M35">
        <v>10</v>
      </c>
    </row>
    <row r="36" spans="1:13" x14ac:dyDescent="0.35">
      <c r="A36" t="s">
        <v>94</v>
      </c>
      <c r="B36" t="s">
        <v>276</v>
      </c>
      <c r="C36" t="s">
        <v>361</v>
      </c>
      <c r="E36" t="s">
        <v>543</v>
      </c>
      <c r="F36" t="s">
        <v>94</v>
      </c>
      <c r="G36" t="s">
        <v>627</v>
      </c>
      <c r="H36" t="s">
        <v>892</v>
      </c>
      <c r="I36" t="s">
        <v>1123</v>
      </c>
      <c r="J36" s="2">
        <v>4</v>
      </c>
      <c r="K36" t="s">
        <v>1306</v>
      </c>
      <c r="L36" t="str">
        <f t="shared" si="0"/>
        <v>035</v>
      </c>
      <c r="M36">
        <v>10</v>
      </c>
    </row>
    <row r="37" spans="1:13" x14ac:dyDescent="0.35">
      <c r="A37" t="s">
        <v>108</v>
      </c>
      <c r="B37" t="s">
        <v>276</v>
      </c>
      <c r="C37" t="s">
        <v>375</v>
      </c>
      <c r="E37" t="s">
        <v>543</v>
      </c>
      <c r="F37" t="s">
        <v>108</v>
      </c>
      <c r="G37" t="s">
        <v>641</v>
      </c>
      <c r="H37" t="s">
        <v>906</v>
      </c>
      <c r="I37" t="s">
        <v>1129</v>
      </c>
      <c r="J37" s="2">
        <v>7</v>
      </c>
      <c r="K37" t="s">
        <v>1320</v>
      </c>
      <c r="L37" t="str">
        <f t="shared" si="0"/>
        <v>036</v>
      </c>
      <c r="M37">
        <v>10</v>
      </c>
    </row>
    <row r="38" spans="1:13" x14ac:dyDescent="0.35">
      <c r="A38" t="s">
        <v>194</v>
      </c>
      <c r="B38" t="s">
        <v>276</v>
      </c>
      <c r="C38" t="s">
        <v>461</v>
      </c>
      <c r="E38" t="s">
        <v>543</v>
      </c>
      <c r="F38" t="s">
        <v>194</v>
      </c>
      <c r="G38" t="s">
        <v>726</v>
      </c>
      <c r="H38" t="s">
        <v>992</v>
      </c>
      <c r="I38" t="s">
        <v>1178</v>
      </c>
      <c r="J38" s="2">
        <v>7</v>
      </c>
      <c r="K38" t="s">
        <v>1406</v>
      </c>
      <c r="L38" t="str">
        <f t="shared" si="0"/>
        <v>037</v>
      </c>
      <c r="M38">
        <v>10</v>
      </c>
    </row>
    <row r="39" spans="1:13" x14ac:dyDescent="0.35">
      <c r="A39" t="s">
        <v>246</v>
      </c>
      <c r="B39" t="s">
        <v>276</v>
      </c>
      <c r="C39" t="s">
        <v>513</v>
      </c>
      <c r="E39" t="s">
        <v>543</v>
      </c>
      <c r="F39" t="s">
        <v>246</v>
      </c>
      <c r="G39" t="s">
        <v>778</v>
      </c>
      <c r="H39" t="s">
        <v>1044</v>
      </c>
      <c r="I39" t="s">
        <v>1207</v>
      </c>
      <c r="J39" s="2">
        <v>7</v>
      </c>
      <c r="K39" t="s">
        <v>1458</v>
      </c>
      <c r="L39" t="str">
        <f t="shared" si="0"/>
        <v>038</v>
      </c>
      <c r="M39">
        <v>10</v>
      </c>
    </row>
    <row r="40" spans="1:13" x14ac:dyDescent="0.35">
      <c r="A40" t="s">
        <v>144</v>
      </c>
      <c r="B40" t="s">
        <v>276</v>
      </c>
      <c r="C40" t="s">
        <v>411</v>
      </c>
      <c r="E40" t="s">
        <v>543</v>
      </c>
      <c r="F40" t="s">
        <v>144</v>
      </c>
      <c r="G40" t="s">
        <v>676</v>
      </c>
      <c r="H40" t="s">
        <v>942</v>
      </c>
      <c r="I40" t="s">
        <v>1148</v>
      </c>
      <c r="J40" s="2">
        <v>7</v>
      </c>
      <c r="K40" t="s">
        <v>1356</v>
      </c>
      <c r="L40" t="str">
        <f t="shared" si="0"/>
        <v>039</v>
      </c>
      <c r="M40">
        <v>10</v>
      </c>
    </row>
    <row r="41" spans="1:13" x14ac:dyDescent="0.35">
      <c r="A41" t="s">
        <v>136</v>
      </c>
      <c r="B41" t="s">
        <v>276</v>
      </c>
      <c r="C41" t="s">
        <v>403</v>
      </c>
      <c r="E41" t="s">
        <v>543</v>
      </c>
      <c r="F41" t="s">
        <v>136</v>
      </c>
      <c r="G41" t="s">
        <v>668</v>
      </c>
      <c r="H41" t="s">
        <v>934</v>
      </c>
      <c r="I41" t="s">
        <v>1143</v>
      </c>
      <c r="J41" s="2">
        <v>7</v>
      </c>
      <c r="K41" t="s">
        <v>1348</v>
      </c>
      <c r="L41" t="str">
        <f t="shared" si="0"/>
        <v>040</v>
      </c>
      <c r="M41">
        <v>10</v>
      </c>
    </row>
    <row r="42" spans="1:13" x14ac:dyDescent="0.35">
      <c r="A42" t="s">
        <v>196</v>
      </c>
      <c r="B42" t="s">
        <v>276</v>
      </c>
      <c r="C42" t="s">
        <v>463</v>
      </c>
      <c r="E42" t="s">
        <v>543</v>
      </c>
      <c r="F42" t="s">
        <v>196</v>
      </c>
      <c r="G42" t="s">
        <v>728</v>
      </c>
      <c r="H42" t="s">
        <v>994</v>
      </c>
      <c r="I42" t="s">
        <v>1179</v>
      </c>
      <c r="J42" s="2">
        <v>7</v>
      </c>
      <c r="K42" t="s">
        <v>1408</v>
      </c>
      <c r="L42" t="str">
        <f t="shared" si="0"/>
        <v>041</v>
      </c>
      <c r="M42">
        <v>10</v>
      </c>
    </row>
    <row r="43" spans="1:13" x14ac:dyDescent="0.35">
      <c r="A43" t="s">
        <v>183</v>
      </c>
      <c r="B43" t="s">
        <v>276</v>
      </c>
      <c r="C43" t="s">
        <v>450</v>
      </c>
      <c r="E43" t="s">
        <v>543</v>
      </c>
      <c r="F43" t="s">
        <v>183</v>
      </c>
      <c r="G43" t="s">
        <v>715</v>
      </c>
      <c r="H43" t="s">
        <v>981</v>
      </c>
      <c r="I43" t="s">
        <v>1174</v>
      </c>
      <c r="J43" s="2">
        <v>7</v>
      </c>
      <c r="K43" t="s">
        <v>1395</v>
      </c>
      <c r="L43" t="str">
        <f t="shared" si="0"/>
        <v>042</v>
      </c>
      <c r="M43">
        <v>10</v>
      </c>
    </row>
    <row r="44" spans="1:13" x14ac:dyDescent="0.35">
      <c r="A44" t="s">
        <v>51</v>
      </c>
      <c r="B44" t="s">
        <v>276</v>
      </c>
      <c r="C44" t="s">
        <v>318</v>
      </c>
      <c r="E44" t="s">
        <v>543</v>
      </c>
      <c r="F44" t="s">
        <v>51</v>
      </c>
      <c r="G44" t="s">
        <v>585</v>
      </c>
      <c r="H44" t="s">
        <v>849</v>
      </c>
      <c r="I44" t="s">
        <v>1100</v>
      </c>
      <c r="J44" s="2">
        <v>7</v>
      </c>
      <c r="K44" t="s">
        <v>1263</v>
      </c>
      <c r="L44" t="str">
        <f t="shared" si="0"/>
        <v>043</v>
      </c>
      <c r="M44">
        <v>10</v>
      </c>
    </row>
    <row r="45" spans="1:13" x14ac:dyDescent="0.35">
      <c r="A45" t="s">
        <v>239</v>
      </c>
      <c r="B45" t="s">
        <v>276</v>
      </c>
      <c r="C45" t="s">
        <v>506</v>
      </c>
      <c r="E45" t="s">
        <v>543</v>
      </c>
      <c r="F45" t="s">
        <v>239</v>
      </c>
      <c r="G45" t="s">
        <v>771</v>
      </c>
      <c r="H45" t="s">
        <v>1037</v>
      </c>
      <c r="I45" t="s">
        <v>1205</v>
      </c>
      <c r="J45" s="2">
        <v>7</v>
      </c>
      <c r="K45" t="s">
        <v>1451</v>
      </c>
      <c r="L45" t="str">
        <f t="shared" si="0"/>
        <v>044</v>
      </c>
      <c r="M45">
        <v>10</v>
      </c>
    </row>
    <row r="46" spans="1:13" x14ac:dyDescent="0.35">
      <c r="A46" t="s">
        <v>47</v>
      </c>
      <c r="B46" t="s">
        <v>276</v>
      </c>
      <c r="C46" t="s">
        <v>314</v>
      </c>
      <c r="E46" t="s">
        <v>543</v>
      </c>
      <c r="F46" t="s">
        <v>47</v>
      </c>
      <c r="G46" t="s">
        <v>581</v>
      </c>
      <c r="H46" t="s">
        <v>845</v>
      </c>
      <c r="I46" t="s">
        <v>1096</v>
      </c>
      <c r="J46" s="2">
        <v>7</v>
      </c>
      <c r="K46" t="s">
        <v>1259</v>
      </c>
      <c r="L46" t="str">
        <f t="shared" si="0"/>
        <v>045</v>
      </c>
      <c r="M46">
        <v>10</v>
      </c>
    </row>
    <row r="47" spans="1:13" x14ac:dyDescent="0.35">
      <c r="A47" t="s">
        <v>143</v>
      </c>
      <c r="B47" t="s">
        <v>276</v>
      </c>
      <c r="C47" t="s">
        <v>410</v>
      </c>
      <c r="E47" t="s">
        <v>543</v>
      </c>
      <c r="F47" t="s">
        <v>143</v>
      </c>
      <c r="G47" t="s">
        <v>675</v>
      </c>
      <c r="H47" t="s">
        <v>941</v>
      </c>
      <c r="I47" t="s">
        <v>1147</v>
      </c>
      <c r="J47" s="2">
        <v>6</v>
      </c>
      <c r="K47" t="s">
        <v>1355</v>
      </c>
      <c r="L47" t="str">
        <f t="shared" si="0"/>
        <v>046</v>
      </c>
      <c r="M47">
        <v>10</v>
      </c>
    </row>
    <row r="48" spans="1:13" x14ac:dyDescent="0.35">
      <c r="A48" t="s">
        <v>55</v>
      </c>
      <c r="B48" t="s">
        <v>276</v>
      </c>
      <c r="C48" t="s">
        <v>322</v>
      </c>
      <c r="E48" t="s">
        <v>543</v>
      </c>
      <c r="F48" t="s">
        <v>55</v>
      </c>
      <c r="G48" t="s">
        <v>589</v>
      </c>
      <c r="H48" t="s">
        <v>853</v>
      </c>
      <c r="I48" t="s">
        <v>1102</v>
      </c>
      <c r="J48" s="2">
        <v>7</v>
      </c>
      <c r="K48" t="s">
        <v>1267</v>
      </c>
      <c r="L48" t="str">
        <f t="shared" si="0"/>
        <v>047</v>
      </c>
      <c r="M48">
        <v>10</v>
      </c>
    </row>
    <row r="49" spans="1:13" x14ac:dyDescent="0.35">
      <c r="A49" t="s">
        <v>236</v>
      </c>
      <c r="B49" t="s">
        <v>276</v>
      </c>
      <c r="C49" t="s">
        <v>503</v>
      </c>
      <c r="E49" t="s">
        <v>543</v>
      </c>
      <c r="F49" t="s">
        <v>236</v>
      </c>
      <c r="G49" t="s">
        <v>768</v>
      </c>
      <c r="H49" t="s">
        <v>1034</v>
      </c>
      <c r="I49" t="s">
        <v>1204</v>
      </c>
      <c r="J49" s="2">
        <v>7</v>
      </c>
      <c r="K49" t="s">
        <v>1448</v>
      </c>
      <c r="L49" t="str">
        <f t="shared" si="0"/>
        <v>048</v>
      </c>
      <c r="M49">
        <v>10</v>
      </c>
    </row>
    <row r="50" spans="1:13" x14ac:dyDescent="0.35">
      <c r="A50" t="s">
        <v>187</v>
      </c>
      <c r="B50" t="s">
        <v>276</v>
      </c>
      <c r="C50" t="s">
        <v>454</v>
      </c>
      <c r="E50" t="s">
        <v>543</v>
      </c>
      <c r="F50" t="s">
        <v>187</v>
      </c>
      <c r="G50" t="s">
        <v>719</v>
      </c>
      <c r="H50" t="s">
        <v>985</v>
      </c>
      <c r="I50" t="s">
        <v>1176</v>
      </c>
      <c r="J50" s="2">
        <v>7</v>
      </c>
      <c r="K50" t="s">
        <v>1399</v>
      </c>
      <c r="L50" t="str">
        <f t="shared" si="0"/>
        <v>049</v>
      </c>
      <c r="M50">
        <v>10</v>
      </c>
    </row>
    <row r="51" spans="1:13" x14ac:dyDescent="0.35">
      <c r="A51" t="s">
        <v>223</v>
      </c>
      <c r="B51" t="s">
        <v>276</v>
      </c>
      <c r="C51" t="s">
        <v>490</v>
      </c>
      <c r="E51" t="s">
        <v>543</v>
      </c>
      <c r="F51" t="s">
        <v>223</v>
      </c>
      <c r="G51" t="s">
        <v>755</v>
      </c>
      <c r="H51" t="s">
        <v>1021</v>
      </c>
      <c r="I51" t="s">
        <v>1195</v>
      </c>
      <c r="J51" s="2">
        <v>5</v>
      </c>
      <c r="K51" t="s">
        <v>1435</v>
      </c>
      <c r="L51" t="str">
        <f t="shared" si="0"/>
        <v>050</v>
      </c>
      <c r="M51">
        <v>10</v>
      </c>
    </row>
    <row r="52" spans="1:13" x14ac:dyDescent="0.35">
      <c r="A52" t="s">
        <v>171</v>
      </c>
      <c r="B52" t="s">
        <v>276</v>
      </c>
      <c r="C52" t="s">
        <v>438</v>
      </c>
      <c r="E52" t="s">
        <v>543</v>
      </c>
      <c r="F52" t="s">
        <v>171</v>
      </c>
      <c r="G52" t="s">
        <v>703</v>
      </c>
      <c r="H52" t="s">
        <v>969</v>
      </c>
      <c r="I52" t="s">
        <v>1164</v>
      </c>
      <c r="J52" s="2">
        <v>6</v>
      </c>
      <c r="K52" t="s">
        <v>1383</v>
      </c>
      <c r="L52" t="str">
        <f t="shared" si="0"/>
        <v>051</v>
      </c>
      <c r="M52">
        <v>10</v>
      </c>
    </row>
    <row r="53" spans="1:13" x14ac:dyDescent="0.35">
      <c r="A53" t="s">
        <v>214</v>
      </c>
      <c r="B53" t="s">
        <v>276</v>
      </c>
      <c r="C53" t="s">
        <v>481</v>
      </c>
      <c r="E53" t="s">
        <v>543</v>
      </c>
      <c r="F53" t="s">
        <v>214</v>
      </c>
      <c r="G53" t="s">
        <v>746</v>
      </c>
      <c r="H53" t="s">
        <v>1012</v>
      </c>
      <c r="I53" t="s">
        <v>1188</v>
      </c>
      <c r="J53" s="2">
        <v>5</v>
      </c>
      <c r="K53" t="s">
        <v>1426</v>
      </c>
      <c r="L53" t="str">
        <f t="shared" si="0"/>
        <v>052</v>
      </c>
      <c r="M53">
        <v>10</v>
      </c>
    </row>
    <row r="54" spans="1:13" x14ac:dyDescent="0.35">
      <c r="A54" t="s">
        <v>18</v>
      </c>
      <c r="B54" t="s">
        <v>276</v>
      </c>
      <c r="C54" t="s">
        <v>285</v>
      </c>
      <c r="E54" t="s">
        <v>543</v>
      </c>
      <c r="F54" t="s">
        <v>18</v>
      </c>
      <c r="G54" t="s">
        <v>552</v>
      </c>
      <c r="H54" t="s">
        <v>816</v>
      </c>
      <c r="I54" t="s">
        <v>1081</v>
      </c>
      <c r="J54" s="2">
        <v>5</v>
      </c>
      <c r="K54" t="s">
        <v>1230</v>
      </c>
      <c r="L54" t="str">
        <f t="shared" si="0"/>
        <v>053</v>
      </c>
      <c r="M54">
        <v>10</v>
      </c>
    </row>
    <row r="55" spans="1:13" x14ac:dyDescent="0.35">
      <c r="A55" t="s">
        <v>105</v>
      </c>
      <c r="B55" t="s">
        <v>276</v>
      </c>
      <c r="C55" t="s">
        <v>372</v>
      </c>
      <c r="E55" t="s">
        <v>543</v>
      </c>
      <c r="F55" t="s">
        <v>105</v>
      </c>
      <c r="G55" t="s">
        <v>638</v>
      </c>
      <c r="H55" t="s">
        <v>903</v>
      </c>
      <c r="I55" t="s">
        <v>1128</v>
      </c>
      <c r="J55" s="2">
        <v>5</v>
      </c>
      <c r="K55" t="s">
        <v>1317</v>
      </c>
      <c r="L55" t="str">
        <f t="shared" si="0"/>
        <v>054</v>
      </c>
      <c r="M55">
        <v>10</v>
      </c>
    </row>
    <row r="56" spans="1:13" x14ac:dyDescent="0.35">
      <c r="A56" t="s">
        <v>22</v>
      </c>
      <c r="B56" t="s">
        <v>276</v>
      </c>
      <c r="C56" t="s">
        <v>289</v>
      </c>
      <c r="E56" t="s">
        <v>543</v>
      </c>
      <c r="F56" t="s">
        <v>22</v>
      </c>
      <c r="G56" t="s">
        <v>556</v>
      </c>
      <c r="H56" t="s">
        <v>820</v>
      </c>
      <c r="I56" t="s">
        <v>1084</v>
      </c>
      <c r="J56" s="2">
        <v>5</v>
      </c>
      <c r="K56" t="s">
        <v>1234</v>
      </c>
      <c r="L56" t="str">
        <f t="shared" si="0"/>
        <v>055</v>
      </c>
      <c r="M56">
        <v>10</v>
      </c>
    </row>
    <row r="57" spans="1:13" x14ac:dyDescent="0.35">
      <c r="A57" t="s">
        <v>16</v>
      </c>
      <c r="B57" t="s">
        <v>276</v>
      </c>
      <c r="C57" t="s">
        <v>283</v>
      </c>
      <c r="E57" t="s">
        <v>543</v>
      </c>
      <c r="F57" t="s">
        <v>16</v>
      </c>
      <c r="G57" t="s">
        <v>550</v>
      </c>
      <c r="H57" t="s">
        <v>814</v>
      </c>
      <c r="I57" t="s">
        <v>1079</v>
      </c>
      <c r="J57" s="2">
        <v>5</v>
      </c>
      <c r="K57" t="s">
        <v>1228</v>
      </c>
      <c r="L57" t="str">
        <f t="shared" si="0"/>
        <v>056</v>
      </c>
      <c r="M57">
        <v>10</v>
      </c>
    </row>
    <row r="58" spans="1:13" x14ac:dyDescent="0.35">
      <c r="A58" t="s">
        <v>116</v>
      </c>
      <c r="B58" t="s">
        <v>276</v>
      </c>
      <c r="C58" t="s">
        <v>383</v>
      </c>
      <c r="E58" t="s">
        <v>543</v>
      </c>
      <c r="F58" t="s">
        <v>116</v>
      </c>
      <c r="G58" t="s">
        <v>649</v>
      </c>
      <c r="H58" t="s">
        <v>914</v>
      </c>
      <c r="I58" t="s">
        <v>1132</v>
      </c>
      <c r="J58" s="2">
        <v>5</v>
      </c>
      <c r="K58" t="s">
        <v>1328</v>
      </c>
      <c r="L58" t="str">
        <f t="shared" si="0"/>
        <v>057</v>
      </c>
      <c r="M58">
        <v>10</v>
      </c>
    </row>
    <row r="59" spans="1:13" x14ac:dyDescent="0.35">
      <c r="A59" t="s">
        <v>219</v>
      </c>
      <c r="B59" t="s">
        <v>276</v>
      </c>
      <c r="C59" t="s">
        <v>486</v>
      </c>
      <c r="E59" t="s">
        <v>543</v>
      </c>
      <c r="F59" t="s">
        <v>219</v>
      </c>
      <c r="G59" t="s">
        <v>751</v>
      </c>
      <c r="H59" t="s">
        <v>1017</v>
      </c>
      <c r="I59" t="s">
        <v>1192</v>
      </c>
      <c r="J59" s="2">
        <v>5</v>
      </c>
      <c r="K59" t="s">
        <v>1431</v>
      </c>
      <c r="L59" t="str">
        <f t="shared" si="0"/>
        <v>058</v>
      </c>
      <c r="M59">
        <v>10</v>
      </c>
    </row>
    <row r="60" spans="1:13" x14ac:dyDescent="0.35">
      <c r="A60" t="s">
        <v>50</v>
      </c>
      <c r="B60" t="s">
        <v>276</v>
      </c>
      <c r="C60" t="s">
        <v>317</v>
      </c>
      <c r="E60" t="s">
        <v>543</v>
      </c>
      <c r="F60" t="s">
        <v>50</v>
      </c>
      <c r="G60" t="s">
        <v>584</v>
      </c>
      <c r="H60" t="s">
        <v>848</v>
      </c>
      <c r="I60" t="s">
        <v>1099</v>
      </c>
      <c r="J60" s="2">
        <v>5</v>
      </c>
      <c r="K60" t="s">
        <v>1262</v>
      </c>
      <c r="L60" t="str">
        <f t="shared" si="0"/>
        <v>059</v>
      </c>
      <c r="M60">
        <v>10</v>
      </c>
    </row>
    <row r="61" spans="1:13" x14ac:dyDescent="0.35">
      <c r="A61" t="s">
        <v>98</v>
      </c>
      <c r="B61" t="s">
        <v>276</v>
      </c>
      <c r="C61" t="s">
        <v>365</v>
      </c>
      <c r="E61" t="s">
        <v>543</v>
      </c>
      <c r="F61" t="s">
        <v>98</v>
      </c>
      <c r="G61" t="s">
        <v>631</v>
      </c>
      <c r="H61" t="s">
        <v>896</v>
      </c>
      <c r="I61" t="s">
        <v>1126</v>
      </c>
      <c r="J61" s="2">
        <v>5</v>
      </c>
      <c r="K61" t="s">
        <v>1310</v>
      </c>
      <c r="L61" t="str">
        <f t="shared" si="0"/>
        <v>060</v>
      </c>
      <c r="M61">
        <v>10</v>
      </c>
    </row>
    <row r="62" spans="1:13" x14ac:dyDescent="0.35">
      <c r="A62" t="s">
        <v>78</v>
      </c>
      <c r="B62" t="s">
        <v>276</v>
      </c>
      <c r="C62" t="s">
        <v>345</v>
      </c>
      <c r="E62" t="s">
        <v>543</v>
      </c>
      <c r="F62" t="s">
        <v>78</v>
      </c>
      <c r="G62" t="s">
        <v>611</v>
      </c>
      <c r="H62" t="s">
        <v>876</v>
      </c>
      <c r="I62" t="s">
        <v>1113</v>
      </c>
      <c r="J62" s="2">
        <v>5</v>
      </c>
      <c r="K62" t="s">
        <v>1290</v>
      </c>
      <c r="L62" t="str">
        <f t="shared" si="0"/>
        <v>061</v>
      </c>
      <c r="M62">
        <v>10</v>
      </c>
    </row>
    <row r="63" spans="1:13" x14ac:dyDescent="0.35">
      <c r="A63" t="s">
        <v>158</v>
      </c>
      <c r="B63" t="s">
        <v>276</v>
      </c>
      <c r="C63" t="s">
        <v>425</v>
      </c>
      <c r="E63" t="s">
        <v>543</v>
      </c>
      <c r="F63" t="s">
        <v>158</v>
      </c>
      <c r="G63" t="s">
        <v>690</v>
      </c>
      <c r="H63" t="s">
        <v>956</v>
      </c>
      <c r="I63" t="s">
        <v>1155</v>
      </c>
      <c r="J63" s="2">
        <v>5</v>
      </c>
      <c r="K63" t="s">
        <v>1370</v>
      </c>
      <c r="L63" t="str">
        <f t="shared" si="0"/>
        <v>062</v>
      </c>
      <c r="M63">
        <v>10</v>
      </c>
    </row>
    <row r="64" spans="1:13" x14ac:dyDescent="0.35">
      <c r="A64" t="s">
        <v>13</v>
      </c>
      <c r="B64" t="s">
        <v>276</v>
      </c>
      <c r="C64" t="s">
        <v>280</v>
      </c>
      <c r="E64" t="s">
        <v>543</v>
      </c>
      <c r="F64" t="s">
        <v>13</v>
      </c>
      <c r="G64" t="s">
        <v>547</v>
      </c>
      <c r="H64" t="s">
        <v>811</v>
      </c>
      <c r="I64" t="s">
        <v>1077</v>
      </c>
      <c r="J64" s="2">
        <v>5</v>
      </c>
      <c r="K64" t="s">
        <v>1225</v>
      </c>
      <c r="L64" t="str">
        <f t="shared" si="0"/>
        <v>063</v>
      </c>
      <c r="M64">
        <v>10</v>
      </c>
    </row>
    <row r="65" spans="1:15" x14ac:dyDescent="0.35">
      <c r="A65" t="s">
        <v>167</v>
      </c>
      <c r="B65" t="s">
        <v>276</v>
      </c>
      <c r="C65" t="s">
        <v>434</v>
      </c>
      <c r="E65" t="s">
        <v>543</v>
      </c>
      <c r="F65" t="s">
        <v>167</v>
      </c>
      <c r="G65" t="s">
        <v>699</v>
      </c>
      <c r="H65" t="s">
        <v>965</v>
      </c>
      <c r="I65" t="s">
        <v>1162</v>
      </c>
      <c r="J65" s="2">
        <v>5</v>
      </c>
      <c r="K65" t="s">
        <v>1379</v>
      </c>
      <c r="L65" t="str">
        <f t="shared" si="0"/>
        <v>064</v>
      </c>
      <c r="M65">
        <v>10</v>
      </c>
    </row>
    <row r="66" spans="1:15" x14ac:dyDescent="0.35">
      <c r="A66" t="s">
        <v>226</v>
      </c>
      <c r="B66" t="s">
        <v>276</v>
      </c>
      <c r="C66" t="s">
        <v>493</v>
      </c>
      <c r="E66" t="s">
        <v>543</v>
      </c>
      <c r="F66" t="s">
        <v>226</v>
      </c>
      <c r="G66" t="s">
        <v>758</v>
      </c>
      <c r="H66" t="s">
        <v>1024</v>
      </c>
      <c r="I66" t="s">
        <v>1197</v>
      </c>
      <c r="J66" s="2">
        <v>5</v>
      </c>
      <c r="K66" t="s">
        <v>1438</v>
      </c>
      <c r="L66" t="str">
        <f t="shared" si="0"/>
        <v>065</v>
      </c>
      <c r="M66">
        <v>10</v>
      </c>
    </row>
    <row r="67" spans="1:15" x14ac:dyDescent="0.35">
      <c r="A67" t="s">
        <v>176</v>
      </c>
      <c r="B67" t="s">
        <v>276</v>
      </c>
      <c r="C67" t="s">
        <v>443</v>
      </c>
      <c r="E67" t="s">
        <v>543</v>
      </c>
      <c r="F67" t="s">
        <v>176</v>
      </c>
      <c r="G67" t="s">
        <v>708</v>
      </c>
      <c r="H67" t="s">
        <v>974</v>
      </c>
      <c r="I67" t="s">
        <v>1169</v>
      </c>
      <c r="J67" s="2">
        <v>5</v>
      </c>
      <c r="K67" t="s">
        <v>1388</v>
      </c>
      <c r="L67" t="str">
        <f t="shared" ref="L67:L130" si="2">LEFT(RIGHT(A67,7),3)</f>
        <v>066</v>
      </c>
      <c r="M67">
        <v>10</v>
      </c>
    </row>
    <row r="68" spans="1:15" x14ac:dyDescent="0.35">
      <c r="A68" t="s">
        <v>99</v>
      </c>
      <c r="B68" t="s">
        <v>276</v>
      </c>
      <c r="C68" t="s">
        <v>366</v>
      </c>
      <c r="E68" t="s">
        <v>543</v>
      </c>
      <c r="F68" t="s">
        <v>99</v>
      </c>
      <c r="G68" t="s">
        <v>632</v>
      </c>
      <c r="H68" t="s">
        <v>897</v>
      </c>
      <c r="I68" t="s">
        <v>1127</v>
      </c>
      <c r="J68" s="2">
        <v>5</v>
      </c>
      <c r="K68" t="s">
        <v>1311</v>
      </c>
      <c r="L68" t="str">
        <f t="shared" si="2"/>
        <v>067</v>
      </c>
      <c r="M68">
        <v>10</v>
      </c>
    </row>
    <row r="69" spans="1:15" x14ac:dyDescent="0.35">
      <c r="A69" t="s">
        <v>213</v>
      </c>
      <c r="B69" t="s">
        <v>276</v>
      </c>
      <c r="C69" t="s">
        <v>480</v>
      </c>
      <c r="E69" t="s">
        <v>543</v>
      </c>
      <c r="F69" t="s">
        <v>213</v>
      </c>
      <c r="G69" t="s">
        <v>745</v>
      </c>
      <c r="H69" t="s">
        <v>1011</v>
      </c>
      <c r="I69" t="s">
        <v>1187</v>
      </c>
      <c r="J69" s="2">
        <v>4</v>
      </c>
      <c r="K69" t="s">
        <v>1425</v>
      </c>
      <c r="L69" t="str">
        <f t="shared" si="2"/>
        <v>068</v>
      </c>
      <c r="M69">
        <v>10</v>
      </c>
    </row>
    <row r="70" spans="1:15" x14ac:dyDescent="0.35">
      <c r="A70" t="s">
        <v>157</v>
      </c>
      <c r="B70" t="s">
        <v>276</v>
      </c>
      <c r="C70" t="s">
        <v>424</v>
      </c>
      <c r="E70" t="s">
        <v>543</v>
      </c>
      <c r="F70" t="s">
        <v>157</v>
      </c>
      <c r="G70" t="s">
        <v>689</v>
      </c>
      <c r="H70" t="s">
        <v>955</v>
      </c>
      <c r="I70" t="s">
        <v>1154</v>
      </c>
      <c r="J70" s="2">
        <v>5</v>
      </c>
      <c r="K70" t="s">
        <v>1369</v>
      </c>
      <c r="L70" t="str">
        <f t="shared" si="2"/>
        <v>069</v>
      </c>
      <c r="M70">
        <v>10</v>
      </c>
    </row>
    <row r="71" spans="1:15" x14ac:dyDescent="0.35">
      <c r="A71" t="s">
        <v>248</v>
      </c>
      <c r="B71" t="s">
        <v>276</v>
      </c>
      <c r="C71" t="s">
        <v>515</v>
      </c>
      <c r="E71" t="s">
        <v>543</v>
      </c>
      <c r="F71" t="s">
        <v>248</v>
      </c>
      <c r="G71" t="s">
        <v>780</v>
      </c>
      <c r="H71" t="s">
        <v>1046</v>
      </c>
      <c r="I71" t="s">
        <v>1209</v>
      </c>
      <c r="J71" s="2">
        <v>6</v>
      </c>
      <c r="K71" t="s">
        <v>1460</v>
      </c>
      <c r="L71" t="str">
        <f t="shared" si="2"/>
        <v>070</v>
      </c>
      <c r="M71">
        <v>10</v>
      </c>
    </row>
    <row r="72" spans="1:15" x14ac:dyDescent="0.35">
      <c r="A72" t="s">
        <v>207</v>
      </c>
      <c r="B72" t="s">
        <v>276</v>
      </c>
      <c r="C72" t="s">
        <v>474</v>
      </c>
      <c r="E72" t="s">
        <v>543</v>
      </c>
      <c r="F72" t="s">
        <v>207</v>
      </c>
      <c r="G72" t="s">
        <v>739</v>
      </c>
      <c r="H72" t="s">
        <v>1005</v>
      </c>
      <c r="I72" t="s">
        <v>1183</v>
      </c>
      <c r="J72" s="2">
        <v>5</v>
      </c>
      <c r="K72" t="s">
        <v>1419</v>
      </c>
      <c r="L72" t="str">
        <f t="shared" si="2"/>
        <v>071</v>
      </c>
      <c r="M72">
        <v>10</v>
      </c>
    </row>
    <row r="73" spans="1:15" x14ac:dyDescent="0.35">
      <c r="A73" t="s">
        <v>45</v>
      </c>
      <c r="B73" t="s">
        <v>276</v>
      </c>
      <c r="C73" t="s">
        <v>312</v>
      </c>
      <c r="E73" t="s">
        <v>543</v>
      </c>
      <c r="F73" t="s">
        <v>45</v>
      </c>
      <c r="G73" t="s">
        <v>579</v>
      </c>
      <c r="H73" t="s">
        <v>843</v>
      </c>
      <c r="I73" t="s">
        <v>1094</v>
      </c>
      <c r="J73" s="2">
        <v>6</v>
      </c>
      <c r="K73" t="s">
        <v>1257</v>
      </c>
      <c r="L73" t="str">
        <f t="shared" si="2"/>
        <v>072</v>
      </c>
      <c r="M73">
        <v>10</v>
      </c>
    </row>
    <row r="74" spans="1:15" x14ac:dyDescent="0.35">
      <c r="A74" t="s">
        <v>141</v>
      </c>
      <c r="B74" t="s">
        <v>276</v>
      </c>
      <c r="C74" t="s">
        <v>408</v>
      </c>
      <c r="E74" t="s">
        <v>543</v>
      </c>
      <c r="F74" t="s">
        <v>141</v>
      </c>
      <c r="G74" t="s">
        <v>673</v>
      </c>
      <c r="H74" t="s">
        <v>939</v>
      </c>
      <c r="I74" t="s">
        <v>1146</v>
      </c>
      <c r="J74" s="2">
        <v>5</v>
      </c>
      <c r="K74" t="s">
        <v>1353</v>
      </c>
      <c r="L74" t="str">
        <f t="shared" si="2"/>
        <v>073</v>
      </c>
      <c r="M74">
        <v>10</v>
      </c>
    </row>
    <row r="75" spans="1:15" x14ac:dyDescent="0.35">
      <c r="A75" t="s">
        <v>95</v>
      </c>
      <c r="B75" t="s">
        <v>276</v>
      </c>
      <c r="C75" t="s">
        <v>362</v>
      </c>
      <c r="E75" t="s">
        <v>543</v>
      </c>
      <c r="F75" t="s">
        <v>95</v>
      </c>
      <c r="G75" t="s">
        <v>628</v>
      </c>
      <c r="H75" t="s">
        <v>893</v>
      </c>
      <c r="I75" t="s">
        <v>1124</v>
      </c>
      <c r="J75" s="2">
        <v>6</v>
      </c>
      <c r="K75" t="s">
        <v>1307</v>
      </c>
      <c r="L75" t="str">
        <f t="shared" si="2"/>
        <v>074</v>
      </c>
      <c r="M75">
        <v>10</v>
      </c>
    </row>
    <row r="76" spans="1:15" x14ac:dyDescent="0.35">
      <c r="A76" t="s">
        <v>79</v>
      </c>
      <c r="B76" t="s">
        <v>276</v>
      </c>
      <c r="C76" t="s">
        <v>346</v>
      </c>
      <c r="E76" t="s">
        <v>543</v>
      </c>
      <c r="F76" t="s">
        <v>79</v>
      </c>
      <c r="G76" t="s">
        <v>612</v>
      </c>
      <c r="H76" t="s">
        <v>877</v>
      </c>
      <c r="I76" t="s">
        <v>1114</v>
      </c>
      <c r="J76" s="2">
        <v>6</v>
      </c>
      <c r="K76" t="s">
        <v>1291</v>
      </c>
      <c r="L76" t="str">
        <f t="shared" si="2"/>
        <v>075</v>
      </c>
      <c r="M76">
        <v>10</v>
      </c>
    </row>
    <row r="77" spans="1:15" x14ac:dyDescent="0.35">
      <c r="A77" t="s">
        <v>128</v>
      </c>
      <c r="B77" t="s">
        <v>276</v>
      </c>
      <c r="C77" t="s">
        <v>395</v>
      </c>
      <c r="E77" t="s">
        <v>543</v>
      </c>
      <c r="F77" t="s">
        <v>128</v>
      </c>
      <c r="G77" t="s">
        <v>660</v>
      </c>
      <c r="H77" t="s">
        <v>926</v>
      </c>
      <c r="I77" t="s">
        <v>1078</v>
      </c>
      <c r="J77" s="2">
        <v>0</v>
      </c>
      <c r="K77" t="s">
        <v>1340</v>
      </c>
      <c r="L77" t="str">
        <f t="shared" si="2"/>
        <v>076</v>
      </c>
      <c r="M77">
        <v>9</v>
      </c>
      <c r="N77" t="s">
        <v>1489</v>
      </c>
      <c r="O77" t="s">
        <v>1501</v>
      </c>
    </row>
    <row r="78" spans="1:15" x14ac:dyDescent="0.35">
      <c r="A78" t="s">
        <v>216</v>
      </c>
      <c r="B78" t="s">
        <v>276</v>
      </c>
      <c r="C78" t="s">
        <v>483</v>
      </c>
      <c r="E78" t="s">
        <v>543</v>
      </c>
      <c r="F78" t="s">
        <v>216</v>
      </c>
      <c r="G78" t="s">
        <v>748</v>
      </c>
      <c r="H78" t="s">
        <v>1014</v>
      </c>
      <c r="I78" t="s">
        <v>1190</v>
      </c>
      <c r="J78" s="2">
        <v>5</v>
      </c>
      <c r="K78" t="s">
        <v>1428</v>
      </c>
      <c r="L78" t="str">
        <f t="shared" si="2"/>
        <v>077</v>
      </c>
      <c r="M78">
        <v>10</v>
      </c>
    </row>
    <row r="79" spans="1:15" x14ac:dyDescent="0.35">
      <c r="A79" t="s">
        <v>243</v>
      </c>
      <c r="B79" t="s">
        <v>276</v>
      </c>
      <c r="C79" t="s">
        <v>510</v>
      </c>
      <c r="E79" t="s">
        <v>543</v>
      </c>
      <c r="F79" t="s">
        <v>243</v>
      </c>
      <c r="G79" t="s">
        <v>775</v>
      </c>
      <c r="H79" t="s">
        <v>1041</v>
      </c>
      <c r="I79" t="s">
        <v>1206</v>
      </c>
      <c r="J79" s="2">
        <v>7</v>
      </c>
      <c r="K79" t="s">
        <v>1455</v>
      </c>
      <c r="L79" t="str">
        <f t="shared" si="2"/>
        <v>078</v>
      </c>
      <c r="M79">
        <v>9</v>
      </c>
      <c r="N79" t="s">
        <v>1489</v>
      </c>
    </row>
    <row r="80" spans="1:15" x14ac:dyDescent="0.35">
      <c r="A80" t="s">
        <v>274</v>
      </c>
      <c r="B80" t="s">
        <v>276</v>
      </c>
      <c r="C80" t="s">
        <v>541</v>
      </c>
      <c r="E80" t="s">
        <v>543</v>
      </c>
      <c r="F80" t="s">
        <v>274</v>
      </c>
      <c r="G80" t="s">
        <v>806</v>
      </c>
      <c r="H80" t="s">
        <v>1072</v>
      </c>
      <c r="I80" t="s">
        <v>1221</v>
      </c>
      <c r="J80" s="2">
        <v>6</v>
      </c>
      <c r="K80" t="s">
        <v>1486</v>
      </c>
      <c r="L80" t="str">
        <f t="shared" si="2"/>
        <v>079</v>
      </c>
      <c r="M80">
        <v>10</v>
      </c>
    </row>
    <row r="81" spans="1:14" x14ac:dyDescent="0.35">
      <c r="A81" t="s">
        <v>29</v>
      </c>
      <c r="B81" t="s">
        <v>276</v>
      </c>
      <c r="C81" t="s">
        <v>296</v>
      </c>
      <c r="E81" t="s">
        <v>543</v>
      </c>
      <c r="F81" t="s">
        <v>29</v>
      </c>
      <c r="G81" t="s">
        <v>563</v>
      </c>
      <c r="H81" t="s">
        <v>827</v>
      </c>
      <c r="I81" t="s">
        <v>1085</v>
      </c>
      <c r="J81" s="2">
        <v>6</v>
      </c>
      <c r="K81" t="s">
        <v>1241</v>
      </c>
      <c r="L81" t="str">
        <f t="shared" si="2"/>
        <v>080</v>
      </c>
      <c r="M81">
        <v>9</v>
      </c>
      <c r="N81" t="s">
        <v>1489</v>
      </c>
    </row>
    <row r="82" spans="1:14" x14ac:dyDescent="0.35">
      <c r="A82" t="s">
        <v>190</v>
      </c>
      <c r="B82" t="s">
        <v>276</v>
      </c>
      <c r="C82" t="s">
        <v>457</v>
      </c>
      <c r="E82" t="s">
        <v>543</v>
      </c>
      <c r="F82" t="s">
        <v>190</v>
      </c>
      <c r="G82" t="s">
        <v>722</v>
      </c>
      <c r="H82" t="s">
        <v>988</v>
      </c>
      <c r="I82" t="s">
        <v>1177</v>
      </c>
      <c r="J82" s="2">
        <v>6</v>
      </c>
      <c r="K82" t="s">
        <v>1402</v>
      </c>
      <c r="L82" t="str">
        <f t="shared" si="2"/>
        <v>081</v>
      </c>
      <c r="M82">
        <v>10</v>
      </c>
    </row>
    <row r="83" spans="1:14" x14ac:dyDescent="0.35">
      <c r="A83" t="s">
        <v>257</v>
      </c>
      <c r="B83" t="s">
        <v>276</v>
      </c>
      <c r="C83" t="s">
        <v>524</v>
      </c>
      <c r="E83" t="s">
        <v>543</v>
      </c>
      <c r="F83" t="s">
        <v>257</v>
      </c>
      <c r="G83" t="s">
        <v>789</v>
      </c>
      <c r="H83" t="s">
        <v>1055</v>
      </c>
      <c r="I83" t="s">
        <v>1214</v>
      </c>
      <c r="J83" s="2">
        <v>5</v>
      </c>
      <c r="K83" t="s">
        <v>1469</v>
      </c>
      <c r="L83" t="str">
        <f t="shared" si="2"/>
        <v>082</v>
      </c>
      <c r="M83">
        <v>10</v>
      </c>
    </row>
    <row r="84" spans="1:14" x14ac:dyDescent="0.35">
      <c r="A84" t="s">
        <v>67</v>
      </c>
      <c r="B84" t="s">
        <v>276</v>
      </c>
      <c r="C84" t="s">
        <v>334</v>
      </c>
      <c r="E84" t="s">
        <v>543</v>
      </c>
      <c r="F84" t="s">
        <v>67</v>
      </c>
      <c r="G84" t="s">
        <v>600</v>
      </c>
      <c r="H84" t="s">
        <v>865</v>
      </c>
      <c r="I84" t="s">
        <v>1108</v>
      </c>
      <c r="J84" s="2">
        <v>6</v>
      </c>
      <c r="K84" t="s">
        <v>1279</v>
      </c>
      <c r="L84" t="str">
        <f t="shared" si="2"/>
        <v>083</v>
      </c>
      <c r="M84">
        <v>10</v>
      </c>
    </row>
    <row r="85" spans="1:14" x14ac:dyDescent="0.35">
      <c r="A85" t="s">
        <v>203</v>
      </c>
      <c r="B85" t="s">
        <v>276</v>
      </c>
      <c r="C85" t="s">
        <v>470</v>
      </c>
      <c r="E85" t="s">
        <v>543</v>
      </c>
      <c r="F85" t="s">
        <v>203</v>
      </c>
      <c r="G85" t="s">
        <v>735</v>
      </c>
      <c r="H85" t="s">
        <v>1001</v>
      </c>
      <c r="I85" t="s">
        <v>1181</v>
      </c>
      <c r="J85" s="2">
        <v>6</v>
      </c>
      <c r="K85" t="s">
        <v>1415</v>
      </c>
      <c r="L85" t="str">
        <f t="shared" si="2"/>
        <v>084</v>
      </c>
      <c r="M85">
        <v>10</v>
      </c>
    </row>
    <row r="86" spans="1:14" x14ac:dyDescent="0.35">
      <c r="A86" t="s">
        <v>164</v>
      </c>
      <c r="B86" t="s">
        <v>276</v>
      </c>
      <c r="C86" t="s">
        <v>431</v>
      </c>
      <c r="E86" t="s">
        <v>543</v>
      </c>
      <c r="F86" t="s">
        <v>164</v>
      </c>
      <c r="G86" t="s">
        <v>696</v>
      </c>
      <c r="H86" t="s">
        <v>962</v>
      </c>
      <c r="I86" t="s">
        <v>1159</v>
      </c>
      <c r="J86" s="2">
        <v>5</v>
      </c>
      <c r="K86" t="s">
        <v>1376</v>
      </c>
      <c r="L86" t="str">
        <f t="shared" si="2"/>
        <v>085</v>
      </c>
      <c r="M86">
        <v>10</v>
      </c>
    </row>
    <row r="87" spans="1:14" x14ac:dyDescent="0.35">
      <c r="A87" t="s">
        <v>35</v>
      </c>
      <c r="B87" t="s">
        <v>276</v>
      </c>
      <c r="C87" t="s">
        <v>302</v>
      </c>
      <c r="E87" t="s">
        <v>543</v>
      </c>
      <c r="F87" t="s">
        <v>35</v>
      </c>
      <c r="G87" t="s">
        <v>569</v>
      </c>
      <c r="H87" t="s">
        <v>833</v>
      </c>
      <c r="I87" t="s">
        <v>1087</v>
      </c>
      <c r="J87" s="2">
        <v>5</v>
      </c>
      <c r="K87" t="s">
        <v>1247</v>
      </c>
      <c r="L87" t="str">
        <f t="shared" si="2"/>
        <v>086</v>
      </c>
      <c r="M87">
        <v>10</v>
      </c>
    </row>
    <row r="88" spans="1:14" x14ac:dyDescent="0.35">
      <c r="A88" t="s">
        <v>76</v>
      </c>
      <c r="B88" t="s">
        <v>276</v>
      </c>
      <c r="C88" t="s">
        <v>343</v>
      </c>
      <c r="E88" t="s">
        <v>543</v>
      </c>
      <c r="F88" t="s">
        <v>76</v>
      </c>
      <c r="G88" t="s">
        <v>609</v>
      </c>
      <c r="H88" t="s">
        <v>874</v>
      </c>
      <c r="I88" t="s">
        <v>1112</v>
      </c>
      <c r="J88" s="2">
        <v>5</v>
      </c>
      <c r="K88" t="s">
        <v>1288</v>
      </c>
      <c r="L88" t="str">
        <f t="shared" si="2"/>
        <v>087</v>
      </c>
      <c r="M88">
        <v>10</v>
      </c>
    </row>
    <row r="89" spans="1:14" x14ac:dyDescent="0.35">
      <c r="A89" t="s">
        <v>181</v>
      </c>
      <c r="B89" t="s">
        <v>276</v>
      </c>
      <c r="C89" t="s">
        <v>448</v>
      </c>
      <c r="E89" t="s">
        <v>543</v>
      </c>
      <c r="F89" t="s">
        <v>181</v>
      </c>
      <c r="G89" t="s">
        <v>713</v>
      </c>
      <c r="H89" t="s">
        <v>979</v>
      </c>
      <c r="I89" t="s">
        <v>1172</v>
      </c>
      <c r="J89" s="2">
        <v>5</v>
      </c>
      <c r="K89" t="s">
        <v>1393</v>
      </c>
      <c r="L89" t="str">
        <f t="shared" si="2"/>
        <v>088</v>
      </c>
      <c r="M89">
        <v>10</v>
      </c>
    </row>
    <row r="90" spans="1:14" x14ac:dyDescent="0.35">
      <c r="A90" t="s">
        <v>233</v>
      </c>
      <c r="B90" t="s">
        <v>276</v>
      </c>
      <c r="C90" t="s">
        <v>500</v>
      </c>
      <c r="E90" t="s">
        <v>543</v>
      </c>
      <c r="F90" t="s">
        <v>233</v>
      </c>
      <c r="G90" t="s">
        <v>765</v>
      </c>
      <c r="H90" t="s">
        <v>1031</v>
      </c>
      <c r="I90" t="s">
        <v>1202</v>
      </c>
      <c r="J90" s="2">
        <v>5</v>
      </c>
      <c r="K90" t="s">
        <v>1445</v>
      </c>
      <c r="L90" t="str">
        <f t="shared" si="2"/>
        <v>089</v>
      </c>
      <c r="M90">
        <v>10</v>
      </c>
    </row>
    <row r="91" spans="1:14" x14ac:dyDescent="0.35">
      <c r="A91" t="s">
        <v>17</v>
      </c>
      <c r="B91" t="s">
        <v>276</v>
      </c>
      <c r="C91" t="s">
        <v>284</v>
      </c>
      <c r="E91" t="s">
        <v>543</v>
      </c>
      <c r="F91" t="s">
        <v>17</v>
      </c>
      <c r="G91" t="s">
        <v>551</v>
      </c>
      <c r="H91" t="s">
        <v>815</v>
      </c>
      <c r="I91" t="s">
        <v>1080</v>
      </c>
      <c r="J91" s="2">
        <v>4</v>
      </c>
      <c r="K91" t="s">
        <v>1229</v>
      </c>
      <c r="L91" t="str">
        <f t="shared" si="2"/>
        <v>090</v>
      </c>
      <c r="M91">
        <v>10</v>
      </c>
      <c r="N91" t="s">
        <v>1490</v>
      </c>
    </row>
    <row r="92" spans="1:14" x14ac:dyDescent="0.35">
      <c r="A92" t="s">
        <v>12</v>
      </c>
      <c r="B92" t="s">
        <v>276</v>
      </c>
      <c r="C92" t="s">
        <v>279</v>
      </c>
      <c r="E92" t="s">
        <v>543</v>
      </c>
      <c r="F92" t="s">
        <v>12</v>
      </c>
      <c r="G92" t="s">
        <v>546</v>
      </c>
      <c r="H92" t="s">
        <v>810</v>
      </c>
      <c r="I92" t="s">
        <v>1076</v>
      </c>
      <c r="J92" s="2">
        <v>5</v>
      </c>
      <c r="K92" t="s">
        <v>1224</v>
      </c>
      <c r="L92" t="str">
        <f t="shared" si="2"/>
        <v>091</v>
      </c>
      <c r="M92">
        <v>10</v>
      </c>
    </row>
    <row r="93" spans="1:14" x14ac:dyDescent="0.35">
      <c r="A93" t="s">
        <v>48</v>
      </c>
      <c r="B93" t="s">
        <v>276</v>
      </c>
      <c r="C93" t="s">
        <v>315</v>
      </c>
      <c r="E93" t="s">
        <v>543</v>
      </c>
      <c r="F93" t="s">
        <v>48</v>
      </c>
      <c r="G93" t="s">
        <v>582</v>
      </c>
      <c r="H93" t="s">
        <v>846</v>
      </c>
      <c r="I93" t="s">
        <v>1097</v>
      </c>
      <c r="J93" s="2">
        <v>5</v>
      </c>
      <c r="K93" t="s">
        <v>1260</v>
      </c>
      <c r="L93" t="str">
        <f t="shared" si="2"/>
        <v>092</v>
      </c>
      <c r="M93">
        <v>10</v>
      </c>
    </row>
    <row r="94" spans="1:14" x14ac:dyDescent="0.35">
      <c r="A94" t="s">
        <v>149</v>
      </c>
      <c r="B94" t="s">
        <v>276</v>
      </c>
      <c r="C94" t="s">
        <v>416</v>
      </c>
      <c r="E94" t="s">
        <v>543</v>
      </c>
      <c r="F94" t="s">
        <v>149</v>
      </c>
      <c r="G94" t="s">
        <v>681</v>
      </c>
      <c r="H94" t="s">
        <v>947</v>
      </c>
      <c r="I94" t="s">
        <v>1150</v>
      </c>
      <c r="J94" s="2">
        <v>5</v>
      </c>
      <c r="K94" t="s">
        <v>1361</v>
      </c>
      <c r="L94" t="str">
        <f t="shared" si="2"/>
        <v>093</v>
      </c>
      <c r="M94">
        <v>10</v>
      </c>
    </row>
    <row r="95" spans="1:14" x14ac:dyDescent="0.35">
      <c r="A95" t="s">
        <v>129</v>
      </c>
      <c r="B95" t="s">
        <v>276</v>
      </c>
      <c r="C95" t="s">
        <v>396</v>
      </c>
      <c r="E95" t="s">
        <v>543</v>
      </c>
      <c r="F95" t="s">
        <v>129</v>
      </c>
      <c r="G95" t="s">
        <v>661</v>
      </c>
      <c r="H95" t="s">
        <v>927</v>
      </c>
      <c r="I95" t="s">
        <v>1138</v>
      </c>
      <c r="J95" s="2">
        <v>6</v>
      </c>
      <c r="K95" t="s">
        <v>1341</v>
      </c>
      <c r="L95" t="str">
        <f t="shared" si="2"/>
        <v>094</v>
      </c>
      <c r="M95">
        <v>10</v>
      </c>
    </row>
    <row r="96" spans="1:14" x14ac:dyDescent="0.35">
      <c r="A96" t="s">
        <v>127</v>
      </c>
      <c r="B96" t="s">
        <v>276</v>
      </c>
      <c r="C96" t="s">
        <v>394</v>
      </c>
      <c r="E96" t="s">
        <v>543</v>
      </c>
      <c r="F96" t="s">
        <v>127</v>
      </c>
      <c r="G96" t="s">
        <v>659</v>
      </c>
      <c r="H96" t="s">
        <v>925</v>
      </c>
      <c r="I96" t="s">
        <v>1137</v>
      </c>
      <c r="J96" s="2">
        <v>7</v>
      </c>
      <c r="K96" t="s">
        <v>1339</v>
      </c>
      <c r="L96" t="str">
        <f t="shared" si="2"/>
        <v>095</v>
      </c>
      <c r="M96">
        <v>10</v>
      </c>
    </row>
    <row r="97" spans="1:13" x14ac:dyDescent="0.35">
      <c r="A97" t="s">
        <v>175</v>
      </c>
      <c r="B97" t="s">
        <v>276</v>
      </c>
      <c r="C97" t="s">
        <v>442</v>
      </c>
      <c r="E97" t="s">
        <v>543</v>
      </c>
      <c r="F97" t="s">
        <v>175</v>
      </c>
      <c r="G97" t="s">
        <v>707</v>
      </c>
      <c r="H97" t="s">
        <v>973</v>
      </c>
      <c r="I97" t="s">
        <v>1168</v>
      </c>
      <c r="J97" s="2">
        <v>7</v>
      </c>
      <c r="K97" t="s">
        <v>1387</v>
      </c>
      <c r="L97" t="str">
        <f t="shared" si="2"/>
        <v>096</v>
      </c>
      <c r="M97">
        <v>10</v>
      </c>
    </row>
    <row r="98" spans="1:13" x14ac:dyDescent="0.35">
      <c r="A98" t="s">
        <v>160</v>
      </c>
      <c r="B98" t="s">
        <v>276</v>
      </c>
      <c r="C98" t="s">
        <v>427</v>
      </c>
      <c r="E98" t="s">
        <v>543</v>
      </c>
      <c r="F98" t="s">
        <v>160</v>
      </c>
      <c r="G98" t="s">
        <v>692</v>
      </c>
      <c r="H98" t="s">
        <v>958</v>
      </c>
      <c r="I98" t="s">
        <v>1156</v>
      </c>
      <c r="J98" s="2">
        <v>6</v>
      </c>
      <c r="K98" t="s">
        <v>1372</v>
      </c>
      <c r="L98" t="str">
        <f t="shared" si="2"/>
        <v>097</v>
      </c>
      <c r="M98">
        <v>10</v>
      </c>
    </row>
    <row r="99" spans="1:13" x14ac:dyDescent="0.35">
      <c r="A99" t="s">
        <v>85</v>
      </c>
      <c r="B99" t="s">
        <v>276</v>
      </c>
      <c r="C99" t="s">
        <v>352</v>
      </c>
      <c r="E99" t="s">
        <v>543</v>
      </c>
      <c r="F99" t="s">
        <v>85</v>
      </c>
      <c r="G99" t="s">
        <v>618</v>
      </c>
      <c r="H99" t="s">
        <v>883</v>
      </c>
      <c r="I99" t="s">
        <v>1116</v>
      </c>
      <c r="J99" s="2">
        <v>5</v>
      </c>
      <c r="K99" t="s">
        <v>1297</v>
      </c>
      <c r="L99" t="str">
        <f t="shared" si="2"/>
        <v>098</v>
      </c>
      <c r="M99">
        <v>10</v>
      </c>
    </row>
    <row r="100" spans="1:13" x14ac:dyDescent="0.35">
      <c r="A100" t="s">
        <v>249</v>
      </c>
      <c r="B100" t="s">
        <v>276</v>
      </c>
      <c r="C100" t="s">
        <v>516</v>
      </c>
      <c r="E100" t="s">
        <v>543</v>
      </c>
      <c r="F100" t="s">
        <v>249</v>
      </c>
      <c r="G100" t="s">
        <v>781</v>
      </c>
      <c r="H100" t="s">
        <v>1047</v>
      </c>
      <c r="I100" t="s">
        <v>1210</v>
      </c>
      <c r="J100" s="2">
        <v>5</v>
      </c>
      <c r="K100" t="s">
        <v>1461</v>
      </c>
      <c r="L100" t="str">
        <f t="shared" si="2"/>
        <v>099</v>
      </c>
      <c r="M100">
        <v>10</v>
      </c>
    </row>
    <row r="101" spans="1:13" x14ac:dyDescent="0.35">
      <c r="A101" t="s">
        <v>174</v>
      </c>
      <c r="B101" t="s">
        <v>276</v>
      </c>
      <c r="C101" t="s">
        <v>441</v>
      </c>
      <c r="E101" t="s">
        <v>543</v>
      </c>
      <c r="F101" t="s">
        <v>174</v>
      </c>
      <c r="G101" t="s">
        <v>706</v>
      </c>
      <c r="H101" t="s">
        <v>972</v>
      </c>
      <c r="I101" t="s">
        <v>1167</v>
      </c>
      <c r="J101" s="2">
        <v>7</v>
      </c>
      <c r="K101" t="s">
        <v>1386</v>
      </c>
      <c r="L101" t="str">
        <f t="shared" si="2"/>
        <v>100</v>
      </c>
      <c r="M101">
        <v>10</v>
      </c>
    </row>
    <row r="102" spans="1:13" x14ac:dyDescent="0.35">
      <c r="A102" t="s">
        <v>21</v>
      </c>
      <c r="B102" t="s">
        <v>276</v>
      </c>
      <c r="C102" t="s">
        <v>288</v>
      </c>
      <c r="E102" t="s">
        <v>543</v>
      </c>
      <c r="F102" t="s">
        <v>21</v>
      </c>
      <c r="G102" t="s">
        <v>555</v>
      </c>
      <c r="H102" t="s">
        <v>819</v>
      </c>
      <c r="I102" t="s">
        <v>1083</v>
      </c>
      <c r="J102" s="2">
        <v>5</v>
      </c>
      <c r="K102" t="s">
        <v>1233</v>
      </c>
      <c r="L102" t="str">
        <f t="shared" si="2"/>
        <v>101</v>
      </c>
      <c r="M102">
        <v>10</v>
      </c>
    </row>
    <row r="103" spans="1:13" x14ac:dyDescent="0.35">
      <c r="A103" t="s">
        <v>172</v>
      </c>
      <c r="B103" t="s">
        <v>276</v>
      </c>
      <c r="C103" t="s">
        <v>439</v>
      </c>
      <c r="E103" t="s">
        <v>543</v>
      </c>
      <c r="F103" t="s">
        <v>172</v>
      </c>
      <c r="G103" t="s">
        <v>704</v>
      </c>
      <c r="H103" t="s">
        <v>970</v>
      </c>
      <c r="I103" t="s">
        <v>1165</v>
      </c>
      <c r="J103" s="2">
        <v>5</v>
      </c>
      <c r="K103" t="s">
        <v>1384</v>
      </c>
      <c r="L103" t="str">
        <f t="shared" si="2"/>
        <v>102</v>
      </c>
      <c r="M103">
        <v>10</v>
      </c>
    </row>
    <row r="104" spans="1:13" x14ac:dyDescent="0.35">
      <c r="A104" t="s">
        <v>131</v>
      </c>
      <c r="B104" t="s">
        <v>276</v>
      </c>
      <c r="C104" t="s">
        <v>398</v>
      </c>
      <c r="E104" t="s">
        <v>543</v>
      </c>
      <c r="F104" t="s">
        <v>131</v>
      </c>
      <c r="G104" t="s">
        <v>663</v>
      </c>
      <c r="H104" t="s">
        <v>929</v>
      </c>
      <c r="I104" t="s">
        <v>1140</v>
      </c>
      <c r="J104" s="2">
        <v>4</v>
      </c>
      <c r="K104" t="s">
        <v>1343</v>
      </c>
      <c r="L104" t="str">
        <f t="shared" si="2"/>
        <v>103</v>
      </c>
      <c r="M104">
        <v>10</v>
      </c>
    </row>
    <row r="105" spans="1:13" x14ac:dyDescent="0.35">
      <c r="A105" t="s">
        <v>49</v>
      </c>
      <c r="B105" t="s">
        <v>276</v>
      </c>
      <c r="C105" t="s">
        <v>316</v>
      </c>
      <c r="E105" t="s">
        <v>543</v>
      </c>
      <c r="F105" t="s">
        <v>49</v>
      </c>
      <c r="G105" t="s">
        <v>583</v>
      </c>
      <c r="H105" t="s">
        <v>847</v>
      </c>
      <c r="I105" t="s">
        <v>1098</v>
      </c>
      <c r="J105" s="2">
        <v>4</v>
      </c>
      <c r="K105" t="s">
        <v>1261</v>
      </c>
      <c r="L105" t="str">
        <f t="shared" si="2"/>
        <v>104</v>
      </c>
      <c r="M105">
        <v>10</v>
      </c>
    </row>
    <row r="106" spans="1:13" x14ac:dyDescent="0.35">
      <c r="A106" t="s">
        <v>151</v>
      </c>
      <c r="B106" t="s">
        <v>276</v>
      </c>
      <c r="C106" t="s">
        <v>418</v>
      </c>
      <c r="E106" t="s">
        <v>543</v>
      </c>
      <c r="F106" t="s">
        <v>151</v>
      </c>
      <c r="G106" t="s">
        <v>683</v>
      </c>
      <c r="H106" t="s">
        <v>949</v>
      </c>
      <c r="I106" t="s">
        <v>1152</v>
      </c>
      <c r="J106" s="2">
        <v>7</v>
      </c>
      <c r="K106" t="s">
        <v>1363</v>
      </c>
      <c r="L106" t="str">
        <f t="shared" si="2"/>
        <v>105</v>
      </c>
      <c r="M106">
        <v>10</v>
      </c>
    </row>
    <row r="107" spans="1:13" x14ac:dyDescent="0.35">
      <c r="A107" t="s">
        <v>263</v>
      </c>
      <c r="B107" t="s">
        <v>276</v>
      </c>
      <c r="C107" t="s">
        <v>530</v>
      </c>
      <c r="E107" t="s">
        <v>543</v>
      </c>
      <c r="F107" t="s">
        <v>263</v>
      </c>
      <c r="G107" t="s">
        <v>795</v>
      </c>
      <c r="H107" t="s">
        <v>1061</v>
      </c>
      <c r="I107" t="s">
        <v>1217</v>
      </c>
      <c r="J107" s="2">
        <v>7</v>
      </c>
      <c r="K107" t="s">
        <v>1475</v>
      </c>
      <c r="L107" t="str">
        <f t="shared" si="2"/>
        <v>106</v>
      </c>
      <c r="M107">
        <v>10</v>
      </c>
    </row>
    <row r="108" spans="1:13" x14ac:dyDescent="0.35">
      <c r="A108" t="s">
        <v>130</v>
      </c>
      <c r="B108" t="s">
        <v>276</v>
      </c>
      <c r="C108" t="s">
        <v>397</v>
      </c>
      <c r="E108" t="s">
        <v>543</v>
      </c>
      <c r="F108" t="s">
        <v>130</v>
      </c>
      <c r="G108" t="s">
        <v>662</v>
      </c>
      <c r="H108" t="s">
        <v>928</v>
      </c>
      <c r="I108" t="s">
        <v>1139</v>
      </c>
      <c r="J108" s="2">
        <v>7</v>
      </c>
      <c r="K108" t="s">
        <v>1342</v>
      </c>
      <c r="L108" t="str">
        <f t="shared" si="2"/>
        <v>107</v>
      </c>
      <c r="M108">
        <v>10</v>
      </c>
    </row>
    <row r="109" spans="1:13" x14ac:dyDescent="0.35">
      <c r="A109" t="s">
        <v>114</v>
      </c>
      <c r="B109" t="s">
        <v>276</v>
      </c>
      <c r="C109" t="s">
        <v>381</v>
      </c>
      <c r="E109" t="s">
        <v>543</v>
      </c>
      <c r="F109" t="s">
        <v>114</v>
      </c>
      <c r="G109" t="s">
        <v>647</v>
      </c>
      <c r="H109" t="s">
        <v>912</v>
      </c>
      <c r="I109" t="s">
        <v>1131</v>
      </c>
      <c r="J109" s="2">
        <v>7</v>
      </c>
      <c r="K109" t="s">
        <v>1326</v>
      </c>
      <c r="L109" t="str">
        <f t="shared" si="2"/>
        <v>108</v>
      </c>
      <c r="M109">
        <v>10</v>
      </c>
    </row>
    <row r="110" spans="1:13" x14ac:dyDescent="0.35">
      <c r="A110" t="s">
        <v>163</v>
      </c>
      <c r="B110" t="s">
        <v>276</v>
      </c>
      <c r="C110" t="s">
        <v>430</v>
      </c>
      <c r="E110" t="s">
        <v>543</v>
      </c>
      <c r="F110" t="s">
        <v>163</v>
      </c>
      <c r="G110" t="s">
        <v>695</v>
      </c>
      <c r="H110" t="s">
        <v>961</v>
      </c>
      <c r="I110" t="s">
        <v>1158</v>
      </c>
      <c r="J110" s="2">
        <v>4</v>
      </c>
      <c r="K110" t="s">
        <v>1375</v>
      </c>
      <c r="L110" t="str">
        <f t="shared" si="2"/>
        <v>109</v>
      </c>
      <c r="M110">
        <v>10</v>
      </c>
    </row>
    <row r="111" spans="1:13" x14ac:dyDescent="0.35">
      <c r="A111" t="s">
        <v>133</v>
      </c>
      <c r="B111" t="s">
        <v>276</v>
      </c>
      <c r="C111" t="s">
        <v>400</v>
      </c>
      <c r="E111" t="s">
        <v>543</v>
      </c>
      <c r="F111" t="s">
        <v>133</v>
      </c>
      <c r="G111" t="s">
        <v>665</v>
      </c>
      <c r="H111" t="s">
        <v>931</v>
      </c>
      <c r="I111" t="s">
        <v>1142</v>
      </c>
      <c r="J111" s="2">
        <v>6</v>
      </c>
      <c r="K111" t="s">
        <v>1345</v>
      </c>
      <c r="L111" t="str">
        <f t="shared" si="2"/>
        <v>110</v>
      </c>
      <c r="M111">
        <v>10</v>
      </c>
    </row>
    <row r="112" spans="1:13" x14ac:dyDescent="0.35">
      <c r="A112" t="s">
        <v>220</v>
      </c>
      <c r="B112" t="s">
        <v>276</v>
      </c>
      <c r="C112" t="s">
        <v>487</v>
      </c>
      <c r="E112" t="s">
        <v>543</v>
      </c>
      <c r="F112" t="s">
        <v>220</v>
      </c>
      <c r="G112" t="s">
        <v>752</v>
      </c>
      <c r="H112" t="s">
        <v>1018</v>
      </c>
      <c r="I112" t="s">
        <v>1193</v>
      </c>
      <c r="J112" s="2">
        <v>5</v>
      </c>
      <c r="K112" t="s">
        <v>1432</v>
      </c>
      <c r="L112" t="str">
        <f t="shared" si="2"/>
        <v>111</v>
      </c>
      <c r="M112">
        <v>10</v>
      </c>
    </row>
    <row r="113" spans="1:15" x14ac:dyDescent="0.35">
      <c r="A113" t="s">
        <v>117</v>
      </c>
      <c r="B113" t="s">
        <v>276</v>
      </c>
      <c r="C113" t="s">
        <v>384</v>
      </c>
      <c r="E113" t="s">
        <v>543</v>
      </c>
      <c r="F113" t="s">
        <v>117</v>
      </c>
      <c r="G113" t="s">
        <v>650</v>
      </c>
      <c r="H113" t="s">
        <v>915</v>
      </c>
      <c r="I113" t="s">
        <v>1133</v>
      </c>
      <c r="J113" s="2">
        <v>5</v>
      </c>
      <c r="K113" t="s">
        <v>1329</v>
      </c>
      <c r="L113" t="str">
        <f t="shared" si="2"/>
        <v>112</v>
      </c>
      <c r="M113">
        <v>10</v>
      </c>
    </row>
    <row r="114" spans="1:15" x14ac:dyDescent="0.35">
      <c r="A114" t="s">
        <v>62</v>
      </c>
      <c r="B114" t="s">
        <v>276</v>
      </c>
      <c r="C114" t="s">
        <v>329</v>
      </c>
      <c r="E114" t="s">
        <v>543</v>
      </c>
      <c r="F114" t="s">
        <v>62</v>
      </c>
      <c r="G114" t="s">
        <v>595</v>
      </c>
      <c r="H114" t="s">
        <v>860</v>
      </c>
      <c r="I114" t="s">
        <v>1078</v>
      </c>
      <c r="J114" s="2">
        <v>0</v>
      </c>
      <c r="K114" t="s">
        <v>1274</v>
      </c>
      <c r="L114" t="str">
        <f t="shared" si="2"/>
        <v>113</v>
      </c>
      <c r="M114">
        <v>8</v>
      </c>
      <c r="N114" t="s">
        <v>1491</v>
      </c>
      <c r="O114" t="s">
        <v>1501</v>
      </c>
    </row>
    <row r="115" spans="1:15" x14ac:dyDescent="0.35">
      <c r="A115" t="s">
        <v>231</v>
      </c>
      <c r="B115" t="s">
        <v>276</v>
      </c>
      <c r="C115" t="s">
        <v>498</v>
      </c>
      <c r="E115" t="s">
        <v>543</v>
      </c>
      <c r="F115" t="s">
        <v>231</v>
      </c>
      <c r="G115" t="s">
        <v>763</v>
      </c>
      <c r="H115" t="s">
        <v>1029</v>
      </c>
      <c r="I115" t="s">
        <v>1200</v>
      </c>
      <c r="J115" s="2">
        <v>5</v>
      </c>
      <c r="K115" t="s">
        <v>1443</v>
      </c>
      <c r="L115" t="str">
        <f t="shared" si="2"/>
        <v>114</v>
      </c>
      <c r="M115">
        <v>10</v>
      </c>
    </row>
    <row r="116" spans="1:15" x14ac:dyDescent="0.35">
      <c r="A116" t="s">
        <v>132</v>
      </c>
      <c r="B116" t="s">
        <v>276</v>
      </c>
      <c r="C116" t="s">
        <v>399</v>
      </c>
      <c r="E116" t="s">
        <v>543</v>
      </c>
      <c r="F116" t="s">
        <v>132</v>
      </c>
      <c r="G116" t="s">
        <v>664</v>
      </c>
      <c r="H116" t="s">
        <v>930</v>
      </c>
      <c r="I116" t="s">
        <v>1141</v>
      </c>
      <c r="J116" s="2">
        <v>5</v>
      </c>
      <c r="K116" t="s">
        <v>1344</v>
      </c>
      <c r="L116" t="str">
        <f t="shared" si="2"/>
        <v>115</v>
      </c>
      <c r="M116">
        <v>10</v>
      </c>
    </row>
    <row r="117" spans="1:15" x14ac:dyDescent="0.35">
      <c r="A117" t="s">
        <v>185</v>
      </c>
      <c r="B117" t="s">
        <v>276</v>
      </c>
      <c r="C117" t="s">
        <v>452</v>
      </c>
      <c r="E117" t="s">
        <v>543</v>
      </c>
      <c r="F117" t="s">
        <v>185</v>
      </c>
      <c r="G117" t="s">
        <v>717</v>
      </c>
      <c r="H117" t="s">
        <v>983</v>
      </c>
      <c r="I117" t="s">
        <v>1175</v>
      </c>
      <c r="J117" s="2">
        <v>6</v>
      </c>
      <c r="K117" t="s">
        <v>1397</v>
      </c>
      <c r="L117" t="str">
        <f t="shared" si="2"/>
        <v>116</v>
      </c>
      <c r="M117">
        <v>10</v>
      </c>
    </row>
    <row r="118" spans="1:15" x14ac:dyDescent="0.35">
      <c r="A118" t="s">
        <v>153</v>
      </c>
      <c r="B118" t="s">
        <v>276</v>
      </c>
      <c r="C118" t="s">
        <v>420</v>
      </c>
      <c r="E118" t="s">
        <v>543</v>
      </c>
      <c r="F118" t="s">
        <v>153</v>
      </c>
      <c r="G118" t="s">
        <v>685</v>
      </c>
      <c r="H118" t="s">
        <v>951</v>
      </c>
      <c r="I118" t="s">
        <v>1153</v>
      </c>
      <c r="J118" s="2">
        <v>5</v>
      </c>
      <c r="K118" t="s">
        <v>1365</v>
      </c>
      <c r="L118" t="str">
        <f t="shared" si="2"/>
        <v>117</v>
      </c>
      <c r="M118">
        <v>10</v>
      </c>
    </row>
    <row r="119" spans="1:15" x14ac:dyDescent="0.35">
      <c r="A119" t="s">
        <v>92</v>
      </c>
      <c r="B119" t="s">
        <v>276</v>
      </c>
      <c r="C119" t="s">
        <v>359</v>
      </c>
      <c r="E119" t="s">
        <v>543</v>
      </c>
      <c r="F119" t="s">
        <v>92</v>
      </c>
      <c r="G119" t="s">
        <v>625</v>
      </c>
      <c r="H119" t="s">
        <v>890</v>
      </c>
      <c r="I119" t="s">
        <v>1121</v>
      </c>
      <c r="J119" s="2">
        <v>5</v>
      </c>
      <c r="K119" t="s">
        <v>1304</v>
      </c>
      <c r="L119" t="str">
        <f t="shared" si="2"/>
        <v>118</v>
      </c>
      <c r="M119">
        <v>10</v>
      </c>
    </row>
    <row r="120" spans="1:15" x14ac:dyDescent="0.35">
      <c r="A120" t="s">
        <v>87</v>
      </c>
      <c r="B120" t="s">
        <v>276</v>
      </c>
      <c r="C120" t="s">
        <v>354</v>
      </c>
      <c r="E120" t="s">
        <v>543</v>
      </c>
      <c r="F120" t="s">
        <v>87</v>
      </c>
      <c r="G120" t="s">
        <v>620</v>
      </c>
      <c r="H120" t="s">
        <v>885</v>
      </c>
      <c r="I120" t="s">
        <v>1118</v>
      </c>
      <c r="J120" s="2">
        <v>6</v>
      </c>
      <c r="K120" t="s">
        <v>1299</v>
      </c>
      <c r="L120" t="str">
        <f t="shared" si="2"/>
        <v>119</v>
      </c>
      <c r="M120">
        <v>10</v>
      </c>
    </row>
    <row r="121" spans="1:15" x14ac:dyDescent="0.35">
      <c r="A121" t="s">
        <v>178</v>
      </c>
      <c r="B121" t="s">
        <v>276</v>
      </c>
      <c r="C121" t="s">
        <v>445</v>
      </c>
      <c r="E121" t="s">
        <v>543</v>
      </c>
      <c r="F121" t="s">
        <v>178</v>
      </c>
      <c r="G121" t="s">
        <v>710</v>
      </c>
      <c r="H121" t="s">
        <v>976</v>
      </c>
      <c r="I121" t="s">
        <v>1170</v>
      </c>
      <c r="J121" s="2">
        <v>7</v>
      </c>
      <c r="K121" t="s">
        <v>1390</v>
      </c>
      <c r="L121" t="str">
        <f t="shared" si="2"/>
        <v>120</v>
      </c>
      <c r="M121">
        <v>10</v>
      </c>
    </row>
    <row r="122" spans="1:15" x14ac:dyDescent="0.35">
      <c r="A122" t="s">
        <v>86</v>
      </c>
      <c r="B122" t="s">
        <v>276</v>
      </c>
      <c r="C122" t="s">
        <v>353</v>
      </c>
      <c r="E122" t="s">
        <v>543</v>
      </c>
      <c r="F122" t="s">
        <v>86</v>
      </c>
      <c r="G122" t="s">
        <v>619</v>
      </c>
      <c r="H122" t="s">
        <v>884</v>
      </c>
      <c r="I122" t="s">
        <v>1117</v>
      </c>
      <c r="J122" s="2">
        <v>6</v>
      </c>
      <c r="K122" t="s">
        <v>1298</v>
      </c>
      <c r="L122" t="str">
        <f t="shared" si="2"/>
        <v>121</v>
      </c>
      <c r="M122">
        <v>10</v>
      </c>
    </row>
    <row r="123" spans="1:15" x14ac:dyDescent="0.35">
      <c r="A123" t="s">
        <v>112</v>
      </c>
      <c r="B123" t="s">
        <v>276</v>
      </c>
      <c r="C123" t="s">
        <v>379</v>
      </c>
      <c r="E123" t="s">
        <v>543</v>
      </c>
      <c r="F123" t="s">
        <v>112</v>
      </c>
      <c r="G123" t="s">
        <v>645</v>
      </c>
      <c r="H123" t="s">
        <v>910</v>
      </c>
      <c r="I123" t="s">
        <v>1130</v>
      </c>
      <c r="J123" s="2">
        <v>6</v>
      </c>
      <c r="K123" t="s">
        <v>1324</v>
      </c>
      <c r="L123" t="str">
        <f t="shared" si="2"/>
        <v>122</v>
      </c>
      <c r="M123">
        <v>10</v>
      </c>
    </row>
    <row r="124" spans="1:15" x14ac:dyDescent="0.35">
      <c r="A124" t="s">
        <v>256</v>
      </c>
      <c r="B124" t="s">
        <v>276</v>
      </c>
      <c r="C124" t="s">
        <v>523</v>
      </c>
      <c r="E124" t="s">
        <v>543</v>
      </c>
      <c r="F124" t="s">
        <v>256</v>
      </c>
      <c r="G124" t="s">
        <v>788</v>
      </c>
      <c r="H124" t="s">
        <v>1054</v>
      </c>
      <c r="I124" t="s">
        <v>1213</v>
      </c>
      <c r="J124" s="2">
        <v>7</v>
      </c>
      <c r="K124" t="s">
        <v>1468</v>
      </c>
      <c r="L124" t="str">
        <f t="shared" si="2"/>
        <v>123</v>
      </c>
      <c r="M124">
        <v>10</v>
      </c>
    </row>
    <row r="125" spans="1:15" x14ac:dyDescent="0.35">
      <c r="A125" t="s">
        <v>251</v>
      </c>
      <c r="B125" t="s">
        <v>276</v>
      </c>
      <c r="C125" t="s">
        <v>518</v>
      </c>
      <c r="E125" t="s">
        <v>543</v>
      </c>
      <c r="F125" t="s">
        <v>251</v>
      </c>
      <c r="G125" t="s">
        <v>783</v>
      </c>
      <c r="H125" t="s">
        <v>1049</v>
      </c>
      <c r="I125" t="s">
        <v>1211</v>
      </c>
      <c r="J125" s="2">
        <v>4</v>
      </c>
      <c r="K125" t="s">
        <v>1463</v>
      </c>
      <c r="L125" t="str">
        <f t="shared" si="2"/>
        <v>124</v>
      </c>
      <c r="M125">
        <v>10</v>
      </c>
    </row>
    <row r="126" spans="1:15" x14ac:dyDescent="0.35">
      <c r="A126" t="s">
        <v>273</v>
      </c>
      <c r="B126" t="s">
        <v>276</v>
      </c>
      <c r="C126" t="s">
        <v>540</v>
      </c>
      <c r="E126" t="s">
        <v>543</v>
      </c>
      <c r="F126" t="s">
        <v>273</v>
      </c>
      <c r="G126" t="s">
        <v>805</v>
      </c>
      <c r="H126" t="s">
        <v>1071</v>
      </c>
      <c r="I126" t="s">
        <v>1220</v>
      </c>
      <c r="J126" s="2">
        <v>4</v>
      </c>
      <c r="K126" t="s">
        <v>1485</v>
      </c>
      <c r="L126" t="str">
        <f t="shared" si="2"/>
        <v>125</v>
      </c>
      <c r="M126">
        <v>10</v>
      </c>
    </row>
    <row r="127" spans="1:15" x14ac:dyDescent="0.35">
      <c r="A127" t="s">
        <v>38</v>
      </c>
      <c r="B127" t="s">
        <v>276</v>
      </c>
      <c r="C127" t="s">
        <v>305</v>
      </c>
      <c r="E127" t="s">
        <v>543</v>
      </c>
      <c r="F127" t="s">
        <v>38</v>
      </c>
      <c r="G127" t="s">
        <v>572</v>
      </c>
      <c r="H127" t="s">
        <v>836</v>
      </c>
      <c r="I127" t="s">
        <v>1089</v>
      </c>
      <c r="J127" s="2">
        <v>4</v>
      </c>
      <c r="K127" t="s">
        <v>1250</v>
      </c>
      <c r="L127" t="str">
        <f t="shared" si="2"/>
        <v>126</v>
      </c>
      <c r="M127">
        <v>10</v>
      </c>
    </row>
    <row r="128" spans="1:15" x14ac:dyDescent="0.35">
      <c r="A128" t="s">
        <v>33</v>
      </c>
      <c r="B128" t="s">
        <v>276</v>
      </c>
      <c r="C128" t="s">
        <v>300</v>
      </c>
      <c r="E128" t="s">
        <v>543</v>
      </c>
      <c r="F128" t="s">
        <v>33</v>
      </c>
      <c r="G128" t="s">
        <v>567</v>
      </c>
      <c r="H128" t="s">
        <v>831</v>
      </c>
      <c r="I128" t="s">
        <v>1086</v>
      </c>
      <c r="J128" s="2">
        <v>4</v>
      </c>
      <c r="K128" t="s">
        <v>1245</v>
      </c>
      <c r="L128" t="str">
        <f t="shared" si="2"/>
        <v>127</v>
      </c>
      <c r="M128">
        <v>10</v>
      </c>
    </row>
    <row r="129" spans="1:15" x14ac:dyDescent="0.35">
      <c r="A129" t="s">
        <v>206</v>
      </c>
      <c r="B129" t="s">
        <v>276</v>
      </c>
      <c r="C129" t="s">
        <v>473</v>
      </c>
      <c r="E129" t="s">
        <v>543</v>
      </c>
      <c r="F129" t="s">
        <v>206</v>
      </c>
      <c r="G129" t="s">
        <v>738</v>
      </c>
      <c r="H129" t="s">
        <v>1004</v>
      </c>
      <c r="I129" t="s">
        <v>1182</v>
      </c>
      <c r="J129" s="2">
        <v>4</v>
      </c>
      <c r="K129" t="s">
        <v>1418</v>
      </c>
      <c r="L129" t="str">
        <f t="shared" si="2"/>
        <v>128</v>
      </c>
      <c r="M129">
        <v>10</v>
      </c>
    </row>
    <row r="130" spans="1:15" x14ac:dyDescent="0.35">
      <c r="A130" t="s">
        <v>260</v>
      </c>
      <c r="B130" t="s">
        <v>276</v>
      </c>
      <c r="C130" t="s">
        <v>527</v>
      </c>
      <c r="E130" t="s">
        <v>543</v>
      </c>
      <c r="F130" t="s">
        <v>260</v>
      </c>
      <c r="G130" t="s">
        <v>792</v>
      </c>
      <c r="H130" t="s">
        <v>1058</v>
      </c>
      <c r="I130" t="s">
        <v>1215</v>
      </c>
      <c r="J130" s="2">
        <v>7</v>
      </c>
      <c r="K130" t="s">
        <v>1472</v>
      </c>
      <c r="L130" t="str">
        <f t="shared" si="2"/>
        <v>129</v>
      </c>
      <c r="M130">
        <v>10</v>
      </c>
    </row>
    <row r="131" spans="1:15" x14ac:dyDescent="0.35">
      <c r="A131" t="s">
        <v>36</v>
      </c>
      <c r="B131" t="s">
        <v>276</v>
      </c>
      <c r="C131" t="s">
        <v>303</v>
      </c>
      <c r="E131" t="s">
        <v>543</v>
      </c>
      <c r="F131" t="s">
        <v>36</v>
      </c>
      <c r="G131" t="s">
        <v>570</v>
      </c>
      <c r="H131" t="s">
        <v>834</v>
      </c>
      <c r="I131" t="s">
        <v>1088</v>
      </c>
      <c r="J131" s="2">
        <v>7</v>
      </c>
      <c r="K131" t="s">
        <v>1248</v>
      </c>
      <c r="L131" t="str">
        <f t="shared" ref="L131:L194" si="3">LEFT(RIGHT(A131,7),3)</f>
        <v>130</v>
      </c>
      <c r="M131">
        <v>10</v>
      </c>
    </row>
    <row r="132" spans="1:15" x14ac:dyDescent="0.35">
      <c r="A132" t="s">
        <v>41</v>
      </c>
      <c r="B132" t="s">
        <v>276</v>
      </c>
      <c r="C132" t="s">
        <v>308</v>
      </c>
      <c r="E132" t="s">
        <v>543</v>
      </c>
      <c r="F132" t="s">
        <v>41</v>
      </c>
      <c r="G132" t="s">
        <v>575</v>
      </c>
      <c r="H132" t="s">
        <v>839</v>
      </c>
      <c r="I132" t="s">
        <v>1092</v>
      </c>
      <c r="J132" s="2">
        <v>6</v>
      </c>
      <c r="K132" t="s">
        <v>1253</v>
      </c>
      <c r="L132" t="str">
        <f t="shared" si="3"/>
        <v>131</v>
      </c>
      <c r="M132">
        <v>10</v>
      </c>
    </row>
    <row r="133" spans="1:15" x14ac:dyDescent="0.35">
      <c r="A133" t="s">
        <v>232</v>
      </c>
      <c r="B133" t="s">
        <v>276</v>
      </c>
      <c r="C133" t="s">
        <v>499</v>
      </c>
      <c r="E133" t="s">
        <v>543</v>
      </c>
      <c r="F133" t="s">
        <v>232</v>
      </c>
      <c r="G133" t="s">
        <v>764</v>
      </c>
      <c r="H133" t="s">
        <v>1030</v>
      </c>
      <c r="I133" t="s">
        <v>1201</v>
      </c>
      <c r="J133" s="2">
        <v>6</v>
      </c>
      <c r="K133" t="s">
        <v>1444</v>
      </c>
      <c r="L133" t="str">
        <f t="shared" si="3"/>
        <v>132</v>
      </c>
      <c r="M133">
        <v>10</v>
      </c>
    </row>
    <row r="134" spans="1:15" x14ac:dyDescent="0.35">
      <c r="A134" t="s">
        <v>120</v>
      </c>
      <c r="B134" t="s">
        <v>276</v>
      </c>
      <c r="C134" t="s">
        <v>387</v>
      </c>
      <c r="E134" t="s">
        <v>543</v>
      </c>
      <c r="F134" t="s">
        <v>120</v>
      </c>
      <c r="G134" t="s">
        <v>653</v>
      </c>
      <c r="H134" t="s">
        <v>918</v>
      </c>
      <c r="I134" t="s">
        <v>1078</v>
      </c>
      <c r="J134" s="2">
        <v>0</v>
      </c>
      <c r="K134" t="s">
        <v>1332</v>
      </c>
      <c r="L134" t="str">
        <f t="shared" si="3"/>
        <v>133</v>
      </c>
      <c r="M134">
        <v>10</v>
      </c>
    </row>
    <row r="135" spans="1:15" x14ac:dyDescent="0.35">
      <c r="A135" t="s">
        <v>72</v>
      </c>
      <c r="B135" t="s">
        <v>276</v>
      </c>
      <c r="C135" t="s">
        <v>339</v>
      </c>
      <c r="E135" t="s">
        <v>543</v>
      </c>
      <c r="F135" t="s">
        <v>72</v>
      </c>
      <c r="G135" t="s">
        <v>605</v>
      </c>
      <c r="H135" t="s">
        <v>870</v>
      </c>
      <c r="I135" t="s">
        <v>1078</v>
      </c>
      <c r="J135" s="2">
        <v>0</v>
      </c>
      <c r="K135" t="s">
        <v>1284</v>
      </c>
      <c r="L135" t="str">
        <f t="shared" si="3"/>
        <v>134</v>
      </c>
      <c r="M135">
        <v>10</v>
      </c>
    </row>
    <row r="136" spans="1:15" x14ac:dyDescent="0.35">
      <c r="A136" t="s">
        <v>189</v>
      </c>
      <c r="B136" t="s">
        <v>276</v>
      </c>
      <c r="C136" t="s">
        <v>456</v>
      </c>
      <c r="E136" t="s">
        <v>543</v>
      </c>
      <c r="F136" t="s">
        <v>189</v>
      </c>
      <c r="G136" t="s">
        <v>721</v>
      </c>
      <c r="H136" t="s">
        <v>987</v>
      </c>
      <c r="I136" t="s">
        <v>1078</v>
      </c>
      <c r="J136" s="2">
        <v>0</v>
      </c>
      <c r="K136" t="s">
        <v>1401</v>
      </c>
      <c r="L136" t="str">
        <f t="shared" si="3"/>
        <v>135</v>
      </c>
      <c r="M136">
        <v>10</v>
      </c>
    </row>
    <row r="137" spans="1:15" x14ac:dyDescent="0.35">
      <c r="A137" t="s">
        <v>180</v>
      </c>
      <c r="B137" t="s">
        <v>276</v>
      </c>
      <c r="C137" t="s">
        <v>447</v>
      </c>
      <c r="E137" t="s">
        <v>543</v>
      </c>
      <c r="F137" t="s">
        <v>180</v>
      </c>
      <c r="G137" t="s">
        <v>712</v>
      </c>
      <c r="H137" t="s">
        <v>978</v>
      </c>
      <c r="I137" t="s">
        <v>1078</v>
      </c>
      <c r="J137" s="2">
        <v>0</v>
      </c>
      <c r="K137" t="s">
        <v>1392</v>
      </c>
      <c r="L137" t="str">
        <f t="shared" si="3"/>
        <v>136</v>
      </c>
      <c r="M137">
        <v>10</v>
      </c>
    </row>
    <row r="138" spans="1:15" x14ac:dyDescent="0.35">
      <c r="A138" t="s">
        <v>142</v>
      </c>
      <c r="B138" t="s">
        <v>276</v>
      </c>
      <c r="C138" t="s">
        <v>409</v>
      </c>
      <c r="E138" t="s">
        <v>543</v>
      </c>
      <c r="F138" t="s">
        <v>142</v>
      </c>
      <c r="G138" t="s">
        <v>674</v>
      </c>
      <c r="H138" t="s">
        <v>940</v>
      </c>
      <c r="I138" t="s">
        <v>1078</v>
      </c>
      <c r="J138" s="2">
        <v>0</v>
      </c>
      <c r="K138" t="s">
        <v>1354</v>
      </c>
      <c r="L138" t="str">
        <f t="shared" si="3"/>
        <v>137</v>
      </c>
      <c r="M138">
        <v>10</v>
      </c>
    </row>
    <row r="139" spans="1:15" x14ac:dyDescent="0.35">
      <c r="A139" t="s">
        <v>70</v>
      </c>
      <c r="B139" t="s">
        <v>276</v>
      </c>
      <c r="C139" t="s">
        <v>337</v>
      </c>
      <c r="E139" t="s">
        <v>543</v>
      </c>
      <c r="F139" t="s">
        <v>70</v>
      </c>
      <c r="G139" t="s">
        <v>603</v>
      </c>
      <c r="H139" t="s">
        <v>868</v>
      </c>
      <c r="I139" t="s">
        <v>1110</v>
      </c>
      <c r="J139" s="2">
        <v>6</v>
      </c>
      <c r="K139" t="s">
        <v>1282</v>
      </c>
      <c r="L139" t="str">
        <f t="shared" si="3"/>
        <v>138</v>
      </c>
      <c r="M139">
        <v>4</v>
      </c>
      <c r="N139" t="s">
        <v>1492</v>
      </c>
      <c r="O139" t="s">
        <v>1493</v>
      </c>
    </row>
    <row r="140" spans="1:15" x14ac:dyDescent="0.35">
      <c r="A140" t="s">
        <v>145</v>
      </c>
      <c r="B140" t="s">
        <v>276</v>
      </c>
      <c r="C140" t="s">
        <v>412</v>
      </c>
      <c r="E140" t="s">
        <v>543</v>
      </c>
      <c r="F140" t="s">
        <v>145</v>
      </c>
      <c r="G140" t="s">
        <v>677</v>
      </c>
      <c r="H140" t="s">
        <v>943</v>
      </c>
      <c r="I140" t="s">
        <v>1078</v>
      </c>
      <c r="J140" s="2">
        <v>0</v>
      </c>
      <c r="K140" t="s">
        <v>1357</v>
      </c>
      <c r="L140" t="str">
        <f t="shared" si="3"/>
        <v>139</v>
      </c>
      <c r="M140">
        <v>10</v>
      </c>
    </row>
    <row r="141" spans="1:15" x14ac:dyDescent="0.35">
      <c r="A141" t="s">
        <v>20</v>
      </c>
      <c r="B141" t="s">
        <v>276</v>
      </c>
      <c r="C141" t="s">
        <v>287</v>
      </c>
      <c r="E141" t="s">
        <v>543</v>
      </c>
      <c r="F141" t="s">
        <v>20</v>
      </c>
      <c r="G141" t="s">
        <v>554</v>
      </c>
      <c r="H141" t="s">
        <v>818</v>
      </c>
      <c r="I141" t="s">
        <v>1078</v>
      </c>
      <c r="J141" s="2">
        <v>0</v>
      </c>
      <c r="K141" t="s">
        <v>1232</v>
      </c>
      <c r="L141" t="str">
        <f t="shared" si="3"/>
        <v>140</v>
      </c>
      <c r="M141">
        <v>10</v>
      </c>
    </row>
    <row r="142" spans="1:15" x14ac:dyDescent="0.35">
      <c r="A142" t="s">
        <v>222</v>
      </c>
      <c r="B142" t="s">
        <v>276</v>
      </c>
      <c r="C142" t="s">
        <v>489</v>
      </c>
      <c r="E142" t="s">
        <v>543</v>
      </c>
      <c r="F142" t="s">
        <v>222</v>
      </c>
      <c r="G142" t="s">
        <v>754</v>
      </c>
      <c r="H142" t="s">
        <v>1020</v>
      </c>
      <c r="I142" t="s">
        <v>1194</v>
      </c>
      <c r="J142" s="2">
        <v>4</v>
      </c>
      <c r="K142" t="s">
        <v>1434</v>
      </c>
      <c r="L142" t="str">
        <f t="shared" si="3"/>
        <v>141</v>
      </c>
      <c r="M142">
        <v>8</v>
      </c>
      <c r="N142" t="s">
        <v>1494</v>
      </c>
      <c r="O142" t="s">
        <v>1493</v>
      </c>
    </row>
    <row r="143" spans="1:15" x14ac:dyDescent="0.35">
      <c r="A143" t="s">
        <v>146</v>
      </c>
      <c r="B143" t="s">
        <v>276</v>
      </c>
      <c r="C143" t="s">
        <v>413</v>
      </c>
      <c r="E143" t="s">
        <v>543</v>
      </c>
      <c r="F143" t="s">
        <v>146</v>
      </c>
      <c r="G143" t="s">
        <v>678</v>
      </c>
      <c r="H143" t="s">
        <v>944</v>
      </c>
      <c r="I143" t="s">
        <v>1078</v>
      </c>
      <c r="J143" s="2">
        <v>0</v>
      </c>
      <c r="K143" t="s">
        <v>1358</v>
      </c>
      <c r="L143" t="str">
        <f t="shared" si="3"/>
        <v>142</v>
      </c>
      <c r="M143">
        <v>10</v>
      </c>
    </row>
    <row r="144" spans="1:15" x14ac:dyDescent="0.35">
      <c r="A144" t="s">
        <v>54</v>
      </c>
      <c r="B144" t="s">
        <v>276</v>
      </c>
      <c r="C144" t="s">
        <v>321</v>
      </c>
      <c r="E144" t="s">
        <v>543</v>
      </c>
      <c r="F144" t="s">
        <v>54</v>
      </c>
      <c r="G144" t="s">
        <v>588</v>
      </c>
      <c r="H144" t="s">
        <v>852</v>
      </c>
      <c r="I144" t="s">
        <v>1078</v>
      </c>
      <c r="J144" s="2">
        <v>0</v>
      </c>
      <c r="K144" t="s">
        <v>1266</v>
      </c>
      <c r="L144" t="str">
        <f t="shared" si="3"/>
        <v>143</v>
      </c>
      <c r="M144">
        <v>10</v>
      </c>
    </row>
    <row r="145" spans="1:15" x14ac:dyDescent="0.35">
      <c r="A145" t="s">
        <v>235</v>
      </c>
      <c r="B145" t="s">
        <v>276</v>
      </c>
      <c r="C145" t="s">
        <v>502</v>
      </c>
      <c r="E145" t="s">
        <v>543</v>
      </c>
      <c r="F145" t="s">
        <v>235</v>
      </c>
      <c r="G145" t="s">
        <v>767</v>
      </c>
      <c r="H145" t="s">
        <v>1033</v>
      </c>
      <c r="I145" t="s">
        <v>1203</v>
      </c>
      <c r="J145" s="2">
        <v>5</v>
      </c>
      <c r="K145" t="s">
        <v>1447</v>
      </c>
      <c r="L145" t="str">
        <f t="shared" si="3"/>
        <v>144</v>
      </c>
      <c r="M145">
        <v>4</v>
      </c>
      <c r="N145" t="s">
        <v>1492</v>
      </c>
      <c r="O145" t="s">
        <v>1493</v>
      </c>
    </row>
    <row r="146" spans="1:15" x14ac:dyDescent="0.35">
      <c r="A146" t="s">
        <v>124</v>
      </c>
      <c r="B146" t="s">
        <v>276</v>
      </c>
      <c r="C146" t="s">
        <v>391</v>
      </c>
      <c r="E146" t="s">
        <v>543</v>
      </c>
      <c r="F146" t="s">
        <v>124</v>
      </c>
      <c r="G146" t="s">
        <v>656</v>
      </c>
      <c r="H146" t="s">
        <v>922</v>
      </c>
      <c r="I146" t="s">
        <v>1136</v>
      </c>
      <c r="J146" s="2">
        <v>7</v>
      </c>
      <c r="K146" t="s">
        <v>1336</v>
      </c>
      <c r="L146" t="str">
        <f t="shared" si="3"/>
        <v>145</v>
      </c>
      <c r="M146">
        <v>4</v>
      </c>
      <c r="N146" t="s">
        <v>1492</v>
      </c>
      <c r="O146" t="s">
        <v>1493</v>
      </c>
    </row>
    <row r="147" spans="1:15" x14ac:dyDescent="0.35">
      <c r="A147" t="s">
        <v>23</v>
      </c>
      <c r="B147" t="s">
        <v>276</v>
      </c>
      <c r="C147" t="s">
        <v>290</v>
      </c>
      <c r="E147" t="s">
        <v>543</v>
      </c>
      <c r="F147" t="s">
        <v>23</v>
      </c>
      <c r="G147" t="s">
        <v>557</v>
      </c>
      <c r="H147" t="s">
        <v>821</v>
      </c>
      <c r="I147" t="s">
        <v>1078</v>
      </c>
      <c r="J147" s="2">
        <v>0</v>
      </c>
      <c r="K147" t="s">
        <v>1235</v>
      </c>
      <c r="L147" t="str">
        <f t="shared" si="3"/>
        <v>146</v>
      </c>
      <c r="M147">
        <v>10</v>
      </c>
    </row>
    <row r="148" spans="1:15" x14ac:dyDescent="0.35">
      <c r="A148" t="s">
        <v>258</v>
      </c>
      <c r="B148" t="s">
        <v>276</v>
      </c>
      <c r="C148" t="s">
        <v>525</v>
      </c>
      <c r="E148" t="s">
        <v>543</v>
      </c>
      <c r="F148" t="s">
        <v>258</v>
      </c>
      <c r="G148" t="s">
        <v>790</v>
      </c>
      <c r="H148" t="s">
        <v>1056</v>
      </c>
      <c r="I148" t="s">
        <v>1078</v>
      </c>
      <c r="J148" s="2">
        <v>0</v>
      </c>
      <c r="K148" t="s">
        <v>1470</v>
      </c>
      <c r="L148" t="str">
        <f t="shared" si="3"/>
        <v>147</v>
      </c>
      <c r="M148">
        <v>10</v>
      </c>
    </row>
    <row r="149" spans="1:15" x14ac:dyDescent="0.35">
      <c r="A149" t="s">
        <v>195</v>
      </c>
      <c r="B149" t="s">
        <v>276</v>
      </c>
      <c r="C149" t="s">
        <v>462</v>
      </c>
      <c r="E149" t="s">
        <v>543</v>
      </c>
      <c r="F149" t="s">
        <v>195</v>
      </c>
      <c r="G149" t="s">
        <v>727</v>
      </c>
      <c r="H149" t="s">
        <v>993</v>
      </c>
      <c r="I149" t="s">
        <v>1078</v>
      </c>
      <c r="J149" s="2">
        <v>0</v>
      </c>
      <c r="K149" t="s">
        <v>1407</v>
      </c>
      <c r="L149" t="str">
        <f t="shared" si="3"/>
        <v>148</v>
      </c>
      <c r="M149">
        <v>10</v>
      </c>
    </row>
    <row r="150" spans="1:15" x14ac:dyDescent="0.35">
      <c r="A150" t="s">
        <v>106</v>
      </c>
      <c r="B150" t="s">
        <v>276</v>
      </c>
      <c r="C150" t="s">
        <v>373</v>
      </c>
      <c r="E150" t="s">
        <v>543</v>
      </c>
      <c r="F150" t="s">
        <v>106</v>
      </c>
      <c r="G150" t="s">
        <v>639</v>
      </c>
      <c r="H150" t="s">
        <v>904</v>
      </c>
      <c r="I150" t="s">
        <v>1078</v>
      </c>
      <c r="J150" s="2">
        <v>0</v>
      </c>
      <c r="K150" t="s">
        <v>1318</v>
      </c>
      <c r="L150" t="str">
        <f t="shared" si="3"/>
        <v>149</v>
      </c>
      <c r="M150">
        <v>10</v>
      </c>
    </row>
    <row r="151" spans="1:15" x14ac:dyDescent="0.35">
      <c r="A151" t="s">
        <v>261</v>
      </c>
      <c r="B151" t="s">
        <v>276</v>
      </c>
      <c r="C151" t="s">
        <v>528</v>
      </c>
      <c r="E151" t="s">
        <v>543</v>
      </c>
      <c r="F151" t="s">
        <v>261</v>
      </c>
      <c r="G151" t="s">
        <v>793</v>
      </c>
      <c r="H151" t="s">
        <v>1059</v>
      </c>
      <c r="I151" t="s">
        <v>1078</v>
      </c>
      <c r="J151" s="2">
        <v>0</v>
      </c>
      <c r="K151" t="s">
        <v>1473</v>
      </c>
      <c r="L151" t="str">
        <f t="shared" si="3"/>
        <v>150</v>
      </c>
      <c r="M151">
        <v>10</v>
      </c>
    </row>
    <row r="152" spans="1:15" x14ac:dyDescent="0.35">
      <c r="A152" t="s">
        <v>250</v>
      </c>
      <c r="B152" t="s">
        <v>276</v>
      </c>
      <c r="C152" t="s">
        <v>517</v>
      </c>
      <c r="E152" t="s">
        <v>543</v>
      </c>
      <c r="F152" t="s">
        <v>250</v>
      </c>
      <c r="G152" t="s">
        <v>782</v>
      </c>
      <c r="H152" t="s">
        <v>1048</v>
      </c>
      <c r="I152" t="s">
        <v>1078</v>
      </c>
      <c r="J152" s="2">
        <v>0</v>
      </c>
      <c r="K152" t="s">
        <v>1462</v>
      </c>
      <c r="L152" t="str">
        <f t="shared" si="3"/>
        <v>151</v>
      </c>
      <c r="M152">
        <v>10</v>
      </c>
    </row>
    <row r="153" spans="1:15" x14ac:dyDescent="0.35">
      <c r="A153" t="s">
        <v>77</v>
      </c>
      <c r="B153" t="s">
        <v>276</v>
      </c>
      <c r="C153" t="s">
        <v>344</v>
      </c>
      <c r="E153" t="s">
        <v>543</v>
      </c>
      <c r="F153" t="s">
        <v>77</v>
      </c>
      <c r="G153" t="s">
        <v>610</v>
      </c>
      <c r="H153" t="s">
        <v>875</v>
      </c>
      <c r="I153" t="s">
        <v>1078</v>
      </c>
      <c r="J153" s="2">
        <v>0</v>
      </c>
      <c r="K153" t="s">
        <v>1289</v>
      </c>
      <c r="L153" t="str">
        <f t="shared" si="3"/>
        <v>152</v>
      </c>
      <c r="M153">
        <v>10</v>
      </c>
    </row>
    <row r="154" spans="1:15" x14ac:dyDescent="0.35">
      <c r="A154" t="s">
        <v>200</v>
      </c>
      <c r="B154" t="s">
        <v>276</v>
      </c>
      <c r="C154" t="s">
        <v>467</v>
      </c>
      <c r="E154" t="s">
        <v>543</v>
      </c>
      <c r="F154" t="s">
        <v>200</v>
      </c>
      <c r="G154" t="s">
        <v>732</v>
      </c>
      <c r="H154" t="s">
        <v>998</v>
      </c>
      <c r="I154" t="s">
        <v>1078</v>
      </c>
      <c r="J154" s="2">
        <v>0</v>
      </c>
      <c r="K154" t="s">
        <v>1412</v>
      </c>
      <c r="L154" t="str">
        <f t="shared" si="3"/>
        <v>153</v>
      </c>
      <c r="M154">
        <v>10</v>
      </c>
    </row>
    <row r="155" spans="1:15" x14ac:dyDescent="0.35">
      <c r="A155" t="s">
        <v>96</v>
      </c>
      <c r="B155" t="s">
        <v>276</v>
      </c>
      <c r="C155" t="s">
        <v>363</v>
      </c>
      <c r="E155" t="s">
        <v>543</v>
      </c>
      <c r="F155" t="s">
        <v>96</v>
      </c>
      <c r="G155" t="s">
        <v>629</v>
      </c>
      <c r="H155" t="s">
        <v>894</v>
      </c>
      <c r="I155" t="s">
        <v>1078</v>
      </c>
      <c r="J155" s="2">
        <v>0</v>
      </c>
      <c r="K155" t="s">
        <v>1308</v>
      </c>
      <c r="L155" t="str">
        <f t="shared" si="3"/>
        <v>154</v>
      </c>
      <c r="M155">
        <v>10</v>
      </c>
    </row>
    <row r="156" spans="1:15" x14ac:dyDescent="0.35">
      <c r="A156" t="s">
        <v>154</v>
      </c>
      <c r="B156" t="s">
        <v>276</v>
      </c>
      <c r="C156" t="s">
        <v>421</v>
      </c>
      <c r="E156" t="s">
        <v>543</v>
      </c>
      <c r="F156" t="s">
        <v>154</v>
      </c>
      <c r="G156" t="s">
        <v>686</v>
      </c>
      <c r="H156" t="s">
        <v>952</v>
      </c>
      <c r="I156" t="s">
        <v>1078</v>
      </c>
      <c r="J156" s="2">
        <v>0</v>
      </c>
      <c r="K156" t="s">
        <v>1366</v>
      </c>
      <c r="L156" t="str">
        <f t="shared" si="3"/>
        <v>155</v>
      </c>
      <c r="M156">
        <v>10</v>
      </c>
    </row>
    <row r="157" spans="1:15" x14ac:dyDescent="0.35">
      <c r="A157" t="s">
        <v>100</v>
      </c>
      <c r="B157" t="s">
        <v>276</v>
      </c>
      <c r="C157" t="s">
        <v>367</v>
      </c>
      <c r="E157" t="s">
        <v>543</v>
      </c>
      <c r="F157" t="s">
        <v>100</v>
      </c>
      <c r="G157" t="s">
        <v>633</v>
      </c>
      <c r="H157" t="s">
        <v>898</v>
      </c>
      <c r="I157" t="s">
        <v>1078</v>
      </c>
      <c r="J157" s="2">
        <v>0</v>
      </c>
      <c r="K157" t="s">
        <v>1312</v>
      </c>
      <c r="L157" t="str">
        <f t="shared" si="3"/>
        <v>156</v>
      </c>
      <c r="M157">
        <v>10</v>
      </c>
    </row>
    <row r="158" spans="1:15" x14ac:dyDescent="0.35">
      <c r="A158" t="s">
        <v>81</v>
      </c>
      <c r="B158" t="s">
        <v>276</v>
      </c>
      <c r="C158" t="s">
        <v>348</v>
      </c>
      <c r="E158" t="s">
        <v>543</v>
      </c>
      <c r="F158" t="s">
        <v>81</v>
      </c>
      <c r="G158" t="s">
        <v>614</v>
      </c>
      <c r="H158" t="s">
        <v>879</v>
      </c>
      <c r="I158" t="s">
        <v>1078</v>
      </c>
      <c r="J158" s="2">
        <v>0</v>
      </c>
      <c r="K158" t="s">
        <v>1293</v>
      </c>
      <c r="L158" t="str">
        <f t="shared" si="3"/>
        <v>157</v>
      </c>
      <c r="M158">
        <v>10</v>
      </c>
    </row>
    <row r="159" spans="1:15" x14ac:dyDescent="0.35">
      <c r="A159" t="s">
        <v>166</v>
      </c>
      <c r="B159" t="s">
        <v>276</v>
      </c>
      <c r="C159" t="s">
        <v>433</v>
      </c>
      <c r="E159" t="s">
        <v>543</v>
      </c>
      <c r="F159" t="s">
        <v>166</v>
      </c>
      <c r="G159" t="s">
        <v>698</v>
      </c>
      <c r="H159" t="s">
        <v>964</v>
      </c>
      <c r="I159" t="s">
        <v>1161</v>
      </c>
      <c r="J159" s="2">
        <v>4</v>
      </c>
      <c r="K159" t="s">
        <v>1378</v>
      </c>
      <c r="L159" t="str">
        <f t="shared" si="3"/>
        <v>158</v>
      </c>
      <c r="M159">
        <v>9</v>
      </c>
      <c r="N159" t="s">
        <v>1495</v>
      </c>
      <c r="O159" t="s">
        <v>1493</v>
      </c>
    </row>
    <row r="160" spans="1:15" x14ac:dyDescent="0.35">
      <c r="A160" t="s">
        <v>115</v>
      </c>
      <c r="B160" t="s">
        <v>276</v>
      </c>
      <c r="C160" t="s">
        <v>382</v>
      </c>
      <c r="E160" t="s">
        <v>543</v>
      </c>
      <c r="F160" t="s">
        <v>115</v>
      </c>
      <c r="G160" t="s">
        <v>648</v>
      </c>
      <c r="H160" t="s">
        <v>913</v>
      </c>
      <c r="I160" t="s">
        <v>1078</v>
      </c>
      <c r="J160" s="2">
        <v>0</v>
      </c>
      <c r="K160" t="s">
        <v>1327</v>
      </c>
      <c r="L160" t="str">
        <f t="shared" si="3"/>
        <v>159</v>
      </c>
      <c r="M160">
        <v>10</v>
      </c>
    </row>
    <row r="161" spans="1:15" x14ac:dyDescent="0.35">
      <c r="A161" t="s">
        <v>26</v>
      </c>
      <c r="B161" t="s">
        <v>276</v>
      </c>
      <c r="C161" t="s">
        <v>293</v>
      </c>
      <c r="E161" t="s">
        <v>543</v>
      </c>
      <c r="F161" t="s">
        <v>26</v>
      </c>
      <c r="G161" t="s">
        <v>560</v>
      </c>
      <c r="H161" t="s">
        <v>824</v>
      </c>
      <c r="I161" t="s">
        <v>1078</v>
      </c>
      <c r="J161" s="2">
        <v>0</v>
      </c>
      <c r="K161" t="s">
        <v>1238</v>
      </c>
      <c r="L161" t="str">
        <f t="shared" si="3"/>
        <v>160</v>
      </c>
      <c r="M161">
        <v>10</v>
      </c>
    </row>
    <row r="162" spans="1:15" x14ac:dyDescent="0.35">
      <c r="A162" t="s">
        <v>40</v>
      </c>
      <c r="B162" t="s">
        <v>276</v>
      </c>
      <c r="C162" t="s">
        <v>307</v>
      </c>
      <c r="E162" t="s">
        <v>543</v>
      </c>
      <c r="F162" t="s">
        <v>40</v>
      </c>
      <c r="G162" t="s">
        <v>574</v>
      </c>
      <c r="H162" t="s">
        <v>838</v>
      </c>
      <c r="I162" t="s">
        <v>1091</v>
      </c>
      <c r="J162" s="2">
        <v>4</v>
      </c>
      <c r="K162" t="s">
        <v>1252</v>
      </c>
      <c r="L162" t="str">
        <f t="shared" si="3"/>
        <v>161</v>
      </c>
      <c r="M162">
        <v>9</v>
      </c>
      <c r="N162" t="s">
        <v>1495</v>
      </c>
      <c r="O162" t="s">
        <v>1493</v>
      </c>
    </row>
    <row r="163" spans="1:15" x14ac:dyDescent="0.35">
      <c r="A163" t="s">
        <v>191</v>
      </c>
      <c r="B163" t="s">
        <v>276</v>
      </c>
      <c r="C163" t="s">
        <v>458</v>
      </c>
      <c r="E163" t="s">
        <v>543</v>
      </c>
      <c r="F163" t="s">
        <v>191</v>
      </c>
      <c r="G163" t="s">
        <v>723</v>
      </c>
      <c r="H163" t="s">
        <v>989</v>
      </c>
      <c r="I163" t="s">
        <v>1078</v>
      </c>
      <c r="J163" s="2">
        <v>0</v>
      </c>
      <c r="K163" t="s">
        <v>1403</v>
      </c>
      <c r="L163" t="str">
        <f t="shared" si="3"/>
        <v>162</v>
      </c>
      <c r="M163">
        <v>10</v>
      </c>
    </row>
    <row r="164" spans="1:15" x14ac:dyDescent="0.35">
      <c r="A164" t="s">
        <v>266</v>
      </c>
      <c r="B164" t="s">
        <v>276</v>
      </c>
      <c r="C164" t="s">
        <v>533</v>
      </c>
      <c r="E164" t="s">
        <v>543</v>
      </c>
      <c r="F164" t="s">
        <v>266</v>
      </c>
      <c r="G164" t="s">
        <v>798</v>
      </c>
      <c r="H164" t="s">
        <v>1064</v>
      </c>
      <c r="I164" t="s">
        <v>1078</v>
      </c>
      <c r="J164" s="2">
        <v>0</v>
      </c>
      <c r="K164" t="s">
        <v>1478</v>
      </c>
      <c r="L164" t="str">
        <f t="shared" si="3"/>
        <v>163</v>
      </c>
      <c r="M164">
        <v>10</v>
      </c>
    </row>
    <row r="165" spans="1:15" x14ac:dyDescent="0.35">
      <c r="A165" t="s">
        <v>107</v>
      </c>
      <c r="B165" t="s">
        <v>276</v>
      </c>
      <c r="C165" t="s">
        <v>374</v>
      </c>
      <c r="E165" t="s">
        <v>543</v>
      </c>
      <c r="F165" t="s">
        <v>107</v>
      </c>
      <c r="G165" t="s">
        <v>640</v>
      </c>
      <c r="H165" t="s">
        <v>905</v>
      </c>
      <c r="I165" t="s">
        <v>1078</v>
      </c>
      <c r="J165" s="2">
        <v>0</v>
      </c>
      <c r="K165" t="s">
        <v>1319</v>
      </c>
      <c r="L165" t="str">
        <f t="shared" si="3"/>
        <v>164</v>
      </c>
      <c r="M165">
        <v>10</v>
      </c>
    </row>
    <row r="166" spans="1:15" x14ac:dyDescent="0.35">
      <c r="A166" t="s">
        <v>240</v>
      </c>
      <c r="B166" t="s">
        <v>276</v>
      </c>
      <c r="C166" t="s">
        <v>507</v>
      </c>
      <c r="E166" t="s">
        <v>543</v>
      </c>
      <c r="F166" t="s">
        <v>240</v>
      </c>
      <c r="G166" t="s">
        <v>772</v>
      </c>
      <c r="H166" t="s">
        <v>1038</v>
      </c>
      <c r="I166" t="s">
        <v>1078</v>
      </c>
      <c r="J166" s="2">
        <v>0</v>
      </c>
      <c r="K166" t="s">
        <v>1452</v>
      </c>
      <c r="L166" t="str">
        <f t="shared" si="3"/>
        <v>165</v>
      </c>
      <c r="M166">
        <v>10</v>
      </c>
    </row>
    <row r="167" spans="1:15" x14ac:dyDescent="0.35">
      <c r="A167" t="s">
        <v>27</v>
      </c>
      <c r="B167" t="s">
        <v>276</v>
      </c>
      <c r="C167" t="s">
        <v>294</v>
      </c>
      <c r="E167" t="s">
        <v>543</v>
      </c>
      <c r="F167" t="s">
        <v>27</v>
      </c>
      <c r="G167" t="s">
        <v>561</v>
      </c>
      <c r="H167" t="s">
        <v>825</v>
      </c>
      <c r="I167" t="s">
        <v>1078</v>
      </c>
      <c r="J167" s="2">
        <v>0</v>
      </c>
      <c r="K167" t="s">
        <v>1239</v>
      </c>
      <c r="L167" t="str">
        <f t="shared" si="3"/>
        <v>166</v>
      </c>
      <c r="M167">
        <v>10</v>
      </c>
    </row>
    <row r="168" spans="1:15" x14ac:dyDescent="0.35">
      <c r="A168" t="s">
        <v>118</v>
      </c>
      <c r="B168" t="s">
        <v>276</v>
      </c>
      <c r="C168" t="s">
        <v>385</v>
      </c>
      <c r="E168" t="s">
        <v>543</v>
      </c>
      <c r="F168" t="s">
        <v>118</v>
      </c>
      <c r="G168" t="s">
        <v>651</v>
      </c>
      <c r="H168" t="s">
        <v>916</v>
      </c>
      <c r="I168" t="s">
        <v>1078</v>
      </c>
      <c r="J168" s="2">
        <v>0</v>
      </c>
      <c r="K168" t="s">
        <v>1330</v>
      </c>
      <c r="L168" t="str">
        <f t="shared" si="3"/>
        <v>167</v>
      </c>
      <c r="M168">
        <v>10</v>
      </c>
    </row>
    <row r="169" spans="1:15" x14ac:dyDescent="0.35">
      <c r="A169" t="s">
        <v>113</v>
      </c>
      <c r="B169" t="s">
        <v>276</v>
      </c>
      <c r="C169" t="s">
        <v>380</v>
      </c>
      <c r="E169" t="s">
        <v>543</v>
      </c>
      <c r="F169" t="s">
        <v>113</v>
      </c>
      <c r="G169" t="s">
        <v>646</v>
      </c>
      <c r="H169" t="s">
        <v>911</v>
      </c>
      <c r="I169" t="s">
        <v>1078</v>
      </c>
      <c r="J169" s="2">
        <v>0</v>
      </c>
      <c r="K169" t="s">
        <v>1325</v>
      </c>
      <c r="L169" t="str">
        <f t="shared" si="3"/>
        <v>168</v>
      </c>
      <c r="M169">
        <v>10</v>
      </c>
    </row>
    <row r="170" spans="1:15" x14ac:dyDescent="0.35">
      <c r="A170" t="s">
        <v>30</v>
      </c>
      <c r="B170" t="s">
        <v>276</v>
      </c>
      <c r="C170" t="s">
        <v>297</v>
      </c>
      <c r="E170" t="s">
        <v>543</v>
      </c>
      <c r="F170" t="s">
        <v>30</v>
      </c>
      <c r="G170" t="s">
        <v>564</v>
      </c>
      <c r="H170" t="s">
        <v>828</v>
      </c>
      <c r="I170" t="s">
        <v>1078</v>
      </c>
      <c r="J170" s="2">
        <v>0</v>
      </c>
      <c r="K170" t="s">
        <v>1242</v>
      </c>
      <c r="L170" t="str">
        <f t="shared" si="3"/>
        <v>169</v>
      </c>
      <c r="M170">
        <v>10</v>
      </c>
    </row>
    <row r="171" spans="1:15" x14ac:dyDescent="0.35">
      <c r="A171" t="s">
        <v>61</v>
      </c>
      <c r="B171" t="s">
        <v>276</v>
      </c>
      <c r="C171" t="s">
        <v>328</v>
      </c>
      <c r="E171" t="s">
        <v>543</v>
      </c>
      <c r="F171" t="s">
        <v>61</v>
      </c>
      <c r="G171" t="s">
        <v>564</v>
      </c>
      <c r="H171" t="s">
        <v>859</v>
      </c>
      <c r="I171" t="s">
        <v>1078</v>
      </c>
      <c r="J171" s="2">
        <v>0</v>
      </c>
      <c r="K171" t="s">
        <v>1273</v>
      </c>
      <c r="L171" t="str">
        <f t="shared" si="3"/>
        <v>170</v>
      </c>
      <c r="M171">
        <v>10</v>
      </c>
    </row>
    <row r="172" spans="1:15" x14ac:dyDescent="0.35">
      <c r="A172" t="s">
        <v>152</v>
      </c>
      <c r="B172" t="s">
        <v>276</v>
      </c>
      <c r="C172" t="s">
        <v>419</v>
      </c>
      <c r="E172" t="s">
        <v>543</v>
      </c>
      <c r="F172" t="s">
        <v>152</v>
      </c>
      <c r="G172" t="s">
        <v>684</v>
      </c>
      <c r="H172" t="s">
        <v>950</v>
      </c>
      <c r="I172" t="s">
        <v>1078</v>
      </c>
      <c r="J172" s="2">
        <v>0</v>
      </c>
      <c r="K172" t="s">
        <v>1364</v>
      </c>
      <c r="L172" t="str">
        <f t="shared" si="3"/>
        <v>171</v>
      </c>
      <c r="M172">
        <v>10</v>
      </c>
    </row>
    <row r="173" spans="1:15" x14ac:dyDescent="0.35">
      <c r="A173" t="s">
        <v>123</v>
      </c>
      <c r="B173" t="s">
        <v>276</v>
      </c>
      <c r="C173" t="s">
        <v>390</v>
      </c>
      <c r="E173" t="s">
        <v>543</v>
      </c>
      <c r="F173" t="s">
        <v>123</v>
      </c>
      <c r="G173" t="s">
        <v>564</v>
      </c>
      <c r="H173" t="s">
        <v>921</v>
      </c>
      <c r="I173" t="s">
        <v>1078</v>
      </c>
      <c r="J173" s="2">
        <v>0</v>
      </c>
      <c r="K173" t="s">
        <v>1335</v>
      </c>
      <c r="L173" t="str">
        <f t="shared" si="3"/>
        <v>172</v>
      </c>
      <c r="M173">
        <v>10</v>
      </c>
    </row>
    <row r="174" spans="1:15" x14ac:dyDescent="0.35">
      <c r="A174" t="s">
        <v>234</v>
      </c>
      <c r="B174" t="s">
        <v>276</v>
      </c>
      <c r="C174" t="s">
        <v>501</v>
      </c>
      <c r="E174" t="s">
        <v>543</v>
      </c>
      <c r="F174" t="s">
        <v>234</v>
      </c>
      <c r="G174" t="s">
        <v>766</v>
      </c>
      <c r="H174" t="s">
        <v>1032</v>
      </c>
      <c r="I174" t="s">
        <v>1078</v>
      </c>
      <c r="J174" s="2">
        <v>0</v>
      </c>
      <c r="K174" t="s">
        <v>1446</v>
      </c>
      <c r="L174" t="str">
        <f t="shared" si="3"/>
        <v>173</v>
      </c>
      <c r="M174">
        <v>10</v>
      </c>
    </row>
    <row r="175" spans="1:15" x14ac:dyDescent="0.35">
      <c r="A175" t="s">
        <v>111</v>
      </c>
      <c r="B175" t="s">
        <v>276</v>
      </c>
      <c r="C175" t="s">
        <v>378</v>
      </c>
      <c r="E175" t="s">
        <v>543</v>
      </c>
      <c r="F175" t="s">
        <v>111</v>
      </c>
      <c r="G175" t="s">
        <v>644</v>
      </c>
      <c r="H175" t="s">
        <v>909</v>
      </c>
      <c r="I175" t="s">
        <v>1078</v>
      </c>
      <c r="J175" s="2">
        <v>0</v>
      </c>
      <c r="K175" t="s">
        <v>1323</v>
      </c>
      <c r="L175" t="str">
        <f t="shared" si="3"/>
        <v>174</v>
      </c>
      <c r="M175">
        <v>10</v>
      </c>
    </row>
    <row r="176" spans="1:15" x14ac:dyDescent="0.35">
      <c r="A176" t="s">
        <v>202</v>
      </c>
      <c r="B176" t="s">
        <v>276</v>
      </c>
      <c r="C176" t="s">
        <v>469</v>
      </c>
      <c r="E176" t="s">
        <v>543</v>
      </c>
      <c r="F176" t="s">
        <v>202</v>
      </c>
      <c r="G176" t="s">
        <v>734</v>
      </c>
      <c r="H176" t="s">
        <v>1000</v>
      </c>
      <c r="I176" t="s">
        <v>1078</v>
      </c>
      <c r="J176" s="2">
        <v>0</v>
      </c>
      <c r="K176" t="s">
        <v>1414</v>
      </c>
      <c r="L176" t="str">
        <f t="shared" si="3"/>
        <v>175</v>
      </c>
      <c r="M176">
        <v>10</v>
      </c>
    </row>
    <row r="177" spans="1:13" x14ac:dyDescent="0.35">
      <c r="A177" t="s">
        <v>91</v>
      </c>
      <c r="B177" t="s">
        <v>276</v>
      </c>
      <c r="C177" t="s">
        <v>358</v>
      </c>
      <c r="E177" t="s">
        <v>543</v>
      </c>
      <c r="F177" t="s">
        <v>91</v>
      </c>
      <c r="G177" t="s">
        <v>624</v>
      </c>
      <c r="H177" t="s">
        <v>889</v>
      </c>
      <c r="I177" t="s">
        <v>1120</v>
      </c>
      <c r="J177" s="2">
        <v>4</v>
      </c>
      <c r="K177" t="s">
        <v>1303</v>
      </c>
      <c r="L177" t="str">
        <f t="shared" si="3"/>
        <v>176</v>
      </c>
      <c r="M177">
        <v>10</v>
      </c>
    </row>
    <row r="178" spans="1:13" x14ac:dyDescent="0.35">
      <c r="A178" t="s">
        <v>193</v>
      </c>
      <c r="B178" t="s">
        <v>276</v>
      </c>
      <c r="C178" t="s">
        <v>460</v>
      </c>
      <c r="E178" t="s">
        <v>543</v>
      </c>
      <c r="F178" t="s">
        <v>193</v>
      </c>
      <c r="G178" t="s">
        <v>725</v>
      </c>
      <c r="H178" t="s">
        <v>991</v>
      </c>
      <c r="I178" t="s">
        <v>1078</v>
      </c>
      <c r="J178" s="2">
        <v>0</v>
      </c>
      <c r="K178" t="s">
        <v>1405</v>
      </c>
      <c r="L178" t="str">
        <f t="shared" si="3"/>
        <v>177</v>
      </c>
      <c r="M178">
        <v>10</v>
      </c>
    </row>
    <row r="179" spans="1:13" x14ac:dyDescent="0.35">
      <c r="A179" t="s">
        <v>103</v>
      </c>
      <c r="B179" t="s">
        <v>276</v>
      </c>
      <c r="C179" t="s">
        <v>370</v>
      </c>
      <c r="E179" t="s">
        <v>543</v>
      </c>
      <c r="F179" t="s">
        <v>103</v>
      </c>
      <c r="G179" t="s">
        <v>636</v>
      </c>
      <c r="H179" t="s">
        <v>901</v>
      </c>
      <c r="I179" t="s">
        <v>1078</v>
      </c>
      <c r="J179" s="2">
        <v>0</v>
      </c>
      <c r="K179" t="s">
        <v>1315</v>
      </c>
      <c r="L179" t="str">
        <f t="shared" si="3"/>
        <v>178</v>
      </c>
      <c r="M179">
        <v>10</v>
      </c>
    </row>
    <row r="180" spans="1:13" x14ac:dyDescent="0.35">
      <c r="A180" t="s">
        <v>205</v>
      </c>
      <c r="B180" t="s">
        <v>276</v>
      </c>
      <c r="C180" t="s">
        <v>472</v>
      </c>
      <c r="E180" t="s">
        <v>543</v>
      </c>
      <c r="F180" t="s">
        <v>205</v>
      </c>
      <c r="G180" t="s">
        <v>737</v>
      </c>
      <c r="H180" t="s">
        <v>1003</v>
      </c>
      <c r="I180" t="s">
        <v>1078</v>
      </c>
      <c r="J180" s="2">
        <v>0</v>
      </c>
      <c r="K180" t="s">
        <v>1417</v>
      </c>
      <c r="L180" t="str">
        <f t="shared" si="3"/>
        <v>179</v>
      </c>
      <c r="M180">
        <v>10</v>
      </c>
    </row>
    <row r="181" spans="1:13" x14ac:dyDescent="0.35">
      <c r="A181" t="s">
        <v>230</v>
      </c>
      <c r="B181" t="s">
        <v>276</v>
      </c>
      <c r="C181" t="s">
        <v>497</v>
      </c>
      <c r="E181" t="s">
        <v>543</v>
      </c>
      <c r="F181" t="s">
        <v>230</v>
      </c>
      <c r="G181" t="s">
        <v>762</v>
      </c>
      <c r="H181" t="s">
        <v>1028</v>
      </c>
      <c r="I181" t="s">
        <v>1078</v>
      </c>
      <c r="J181" s="2">
        <v>0</v>
      </c>
      <c r="K181" t="s">
        <v>1442</v>
      </c>
      <c r="L181" t="str">
        <f t="shared" si="3"/>
        <v>180</v>
      </c>
      <c r="M181">
        <v>10</v>
      </c>
    </row>
    <row r="182" spans="1:13" x14ac:dyDescent="0.35">
      <c r="A182" t="s">
        <v>75</v>
      </c>
      <c r="B182" t="s">
        <v>276</v>
      </c>
      <c r="C182" t="s">
        <v>342</v>
      </c>
      <c r="E182" t="s">
        <v>543</v>
      </c>
      <c r="F182" t="s">
        <v>75</v>
      </c>
      <c r="G182" t="s">
        <v>608</v>
      </c>
      <c r="H182" t="s">
        <v>873</v>
      </c>
      <c r="I182" t="s">
        <v>1078</v>
      </c>
      <c r="J182" s="2">
        <v>0</v>
      </c>
      <c r="K182" t="s">
        <v>1287</v>
      </c>
      <c r="L182" t="str">
        <f t="shared" si="3"/>
        <v>181</v>
      </c>
      <c r="M182">
        <v>10</v>
      </c>
    </row>
    <row r="183" spans="1:13" x14ac:dyDescent="0.35">
      <c r="A183" t="s">
        <v>65</v>
      </c>
      <c r="B183" t="s">
        <v>276</v>
      </c>
      <c r="C183" t="s">
        <v>332</v>
      </c>
      <c r="E183" t="s">
        <v>543</v>
      </c>
      <c r="F183" t="s">
        <v>65</v>
      </c>
      <c r="G183" t="s">
        <v>598</v>
      </c>
      <c r="H183" t="s">
        <v>863</v>
      </c>
      <c r="I183" t="s">
        <v>1107</v>
      </c>
      <c r="J183" s="2">
        <v>5</v>
      </c>
      <c r="K183" t="s">
        <v>1277</v>
      </c>
      <c r="L183" t="str">
        <f t="shared" si="3"/>
        <v>182</v>
      </c>
      <c r="M183">
        <v>10</v>
      </c>
    </row>
    <row r="184" spans="1:13" x14ac:dyDescent="0.35">
      <c r="A184" t="s">
        <v>119</v>
      </c>
      <c r="B184" t="s">
        <v>276</v>
      </c>
      <c r="C184" t="s">
        <v>386</v>
      </c>
      <c r="E184" t="s">
        <v>543</v>
      </c>
      <c r="F184" t="s">
        <v>119</v>
      </c>
      <c r="G184" t="s">
        <v>652</v>
      </c>
      <c r="H184" t="s">
        <v>917</v>
      </c>
      <c r="I184" t="s">
        <v>1134</v>
      </c>
      <c r="J184" s="2">
        <v>5</v>
      </c>
      <c r="K184" t="s">
        <v>1331</v>
      </c>
      <c r="L184" t="str">
        <f t="shared" si="3"/>
        <v>183</v>
      </c>
      <c r="M184">
        <v>10</v>
      </c>
    </row>
    <row r="185" spans="1:13" x14ac:dyDescent="0.35">
      <c r="A185" t="s">
        <v>58</v>
      </c>
      <c r="B185" t="s">
        <v>276</v>
      </c>
      <c r="C185" t="s">
        <v>325</v>
      </c>
      <c r="E185" t="s">
        <v>543</v>
      </c>
      <c r="F185" t="s">
        <v>58</v>
      </c>
      <c r="G185" t="s">
        <v>592</v>
      </c>
      <c r="H185" t="s">
        <v>856</v>
      </c>
      <c r="I185" t="s">
        <v>1104</v>
      </c>
      <c r="J185" s="2">
        <v>5</v>
      </c>
      <c r="K185" t="s">
        <v>1270</v>
      </c>
      <c r="L185" t="str">
        <f t="shared" si="3"/>
        <v>184</v>
      </c>
      <c r="M185">
        <v>10</v>
      </c>
    </row>
    <row r="186" spans="1:13" x14ac:dyDescent="0.35">
      <c r="A186" t="s">
        <v>89</v>
      </c>
      <c r="B186" t="s">
        <v>276</v>
      </c>
      <c r="C186" t="s">
        <v>356</v>
      </c>
      <c r="E186" t="s">
        <v>543</v>
      </c>
      <c r="F186" t="s">
        <v>89</v>
      </c>
      <c r="G186" t="s">
        <v>622</v>
      </c>
      <c r="H186" t="s">
        <v>887</v>
      </c>
      <c r="I186" t="s">
        <v>1119</v>
      </c>
      <c r="J186" s="2">
        <v>4</v>
      </c>
      <c r="K186" t="s">
        <v>1301</v>
      </c>
      <c r="L186" t="str">
        <f t="shared" si="3"/>
        <v>185</v>
      </c>
      <c r="M186">
        <v>10</v>
      </c>
    </row>
    <row r="187" spans="1:13" x14ac:dyDescent="0.35">
      <c r="A187" t="s">
        <v>204</v>
      </c>
      <c r="B187" t="s">
        <v>276</v>
      </c>
      <c r="C187" t="s">
        <v>471</v>
      </c>
      <c r="E187" t="s">
        <v>543</v>
      </c>
      <c r="F187" t="s">
        <v>204</v>
      </c>
      <c r="G187" t="s">
        <v>736</v>
      </c>
      <c r="H187" t="s">
        <v>1002</v>
      </c>
      <c r="I187" t="s">
        <v>1078</v>
      </c>
      <c r="J187" s="2">
        <v>0</v>
      </c>
      <c r="K187" t="s">
        <v>1416</v>
      </c>
      <c r="L187" t="str">
        <f t="shared" si="3"/>
        <v>186</v>
      </c>
      <c r="M187">
        <v>10</v>
      </c>
    </row>
    <row r="188" spans="1:13" x14ac:dyDescent="0.35">
      <c r="A188" t="s">
        <v>186</v>
      </c>
      <c r="B188" t="s">
        <v>276</v>
      </c>
      <c r="C188" t="s">
        <v>453</v>
      </c>
      <c r="E188" t="s">
        <v>543</v>
      </c>
      <c r="F188" t="s">
        <v>186</v>
      </c>
      <c r="G188" t="s">
        <v>718</v>
      </c>
      <c r="H188" t="s">
        <v>984</v>
      </c>
      <c r="I188" t="s">
        <v>1078</v>
      </c>
      <c r="J188" s="2">
        <v>0</v>
      </c>
      <c r="K188" t="s">
        <v>1398</v>
      </c>
      <c r="L188" t="str">
        <f t="shared" si="3"/>
        <v>187</v>
      </c>
      <c r="M188">
        <v>10</v>
      </c>
    </row>
    <row r="189" spans="1:13" x14ac:dyDescent="0.35">
      <c r="A189" t="s">
        <v>269</v>
      </c>
      <c r="B189" t="s">
        <v>276</v>
      </c>
      <c r="C189" t="s">
        <v>536</v>
      </c>
      <c r="E189" t="s">
        <v>543</v>
      </c>
      <c r="F189" t="s">
        <v>269</v>
      </c>
      <c r="G189" t="s">
        <v>801</v>
      </c>
      <c r="H189" t="s">
        <v>1067</v>
      </c>
      <c r="I189" t="s">
        <v>1078</v>
      </c>
      <c r="J189" s="2">
        <v>0</v>
      </c>
      <c r="K189" t="s">
        <v>1481</v>
      </c>
      <c r="L189" t="str">
        <f t="shared" si="3"/>
        <v>188</v>
      </c>
      <c r="M189">
        <v>10</v>
      </c>
    </row>
    <row r="190" spans="1:13" x14ac:dyDescent="0.35">
      <c r="A190" t="s">
        <v>210</v>
      </c>
      <c r="B190" t="s">
        <v>276</v>
      </c>
      <c r="C190" t="s">
        <v>477</v>
      </c>
      <c r="E190" t="s">
        <v>543</v>
      </c>
      <c r="F190" t="s">
        <v>210</v>
      </c>
      <c r="G190" t="s">
        <v>742</v>
      </c>
      <c r="H190" t="s">
        <v>1008</v>
      </c>
      <c r="I190" t="s">
        <v>1078</v>
      </c>
      <c r="J190" s="2">
        <v>0</v>
      </c>
      <c r="K190" t="s">
        <v>1422</v>
      </c>
      <c r="L190" t="str">
        <f t="shared" si="3"/>
        <v>189</v>
      </c>
      <c r="M190">
        <v>10</v>
      </c>
    </row>
    <row r="191" spans="1:13" x14ac:dyDescent="0.35">
      <c r="A191" t="s">
        <v>148</v>
      </c>
      <c r="B191" t="s">
        <v>276</v>
      </c>
      <c r="C191" t="s">
        <v>415</v>
      </c>
      <c r="E191" t="s">
        <v>543</v>
      </c>
      <c r="F191" t="s">
        <v>148</v>
      </c>
      <c r="G191" t="s">
        <v>680</v>
      </c>
      <c r="H191" t="s">
        <v>946</v>
      </c>
      <c r="I191" t="s">
        <v>1078</v>
      </c>
      <c r="J191" s="2">
        <v>0</v>
      </c>
      <c r="K191" t="s">
        <v>1360</v>
      </c>
      <c r="L191" t="str">
        <f t="shared" si="3"/>
        <v>190</v>
      </c>
      <c r="M191">
        <v>10</v>
      </c>
    </row>
    <row r="192" spans="1:13" x14ac:dyDescent="0.35">
      <c r="A192" t="s">
        <v>32</v>
      </c>
      <c r="B192" t="s">
        <v>276</v>
      </c>
      <c r="C192" t="s">
        <v>299</v>
      </c>
      <c r="E192" t="s">
        <v>543</v>
      </c>
      <c r="F192" t="s">
        <v>32</v>
      </c>
      <c r="G192" t="s">
        <v>566</v>
      </c>
      <c r="H192" t="s">
        <v>830</v>
      </c>
      <c r="I192" t="s">
        <v>1078</v>
      </c>
      <c r="J192" s="2">
        <v>0</v>
      </c>
      <c r="K192" t="s">
        <v>1244</v>
      </c>
      <c r="L192" t="str">
        <f t="shared" si="3"/>
        <v>191</v>
      </c>
      <c r="M192">
        <v>10</v>
      </c>
    </row>
    <row r="193" spans="1:15" x14ac:dyDescent="0.35">
      <c r="A193" t="s">
        <v>102</v>
      </c>
      <c r="B193" t="s">
        <v>276</v>
      </c>
      <c r="C193" t="s">
        <v>369</v>
      </c>
      <c r="E193" t="s">
        <v>543</v>
      </c>
      <c r="F193" t="s">
        <v>102</v>
      </c>
      <c r="G193" t="s">
        <v>635</v>
      </c>
      <c r="H193" t="s">
        <v>900</v>
      </c>
      <c r="I193" t="s">
        <v>1078</v>
      </c>
      <c r="J193" s="2">
        <v>0</v>
      </c>
      <c r="K193" t="s">
        <v>1314</v>
      </c>
      <c r="L193" t="str">
        <f t="shared" si="3"/>
        <v>192</v>
      </c>
      <c r="M193">
        <v>10</v>
      </c>
    </row>
    <row r="194" spans="1:15" x14ac:dyDescent="0.35">
      <c r="A194" t="s">
        <v>242</v>
      </c>
      <c r="B194" t="s">
        <v>276</v>
      </c>
      <c r="C194" t="s">
        <v>509</v>
      </c>
      <c r="E194" t="s">
        <v>543</v>
      </c>
      <c r="F194" t="s">
        <v>242</v>
      </c>
      <c r="G194" t="s">
        <v>774</v>
      </c>
      <c r="H194" t="s">
        <v>1040</v>
      </c>
      <c r="I194" t="s">
        <v>1078</v>
      </c>
      <c r="J194" s="2">
        <v>0</v>
      </c>
      <c r="K194" t="s">
        <v>1454</v>
      </c>
      <c r="L194" t="str">
        <f t="shared" si="3"/>
        <v>193</v>
      </c>
      <c r="M194">
        <v>10</v>
      </c>
    </row>
    <row r="195" spans="1:15" x14ac:dyDescent="0.35">
      <c r="A195" t="s">
        <v>126</v>
      </c>
      <c r="B195" t="s">
        <v>276</v>
      </c>
      <c r="C195" t="s">
        <v>393</v>
      </c>
      <c r="E195" t="s">
        <v>543</v>
      </c>
      <c r="F195" t="s">
        <v>126</v>
      </c>
      <c r="G195" t="s">
        <v>658</v>
      </c>
      <c r="H195" t="s">
        <v>924</v>
      </c>
      <c r="I195" t="s">
        <v>1078</v>
      </c>
      <c r="J195" s="2">
        <v>0</v>
      </c>
      <c r="K195" t="s">
        <v>1338</v>
      </c>
      <c r="L195" t="str">
        <f t="shared" ref="L195:L258" si="4">LEFT(RIGHT(A195,7),3)</f>
        <v>194</v>
      </c>
      <c r="M195">
        <v>10</v>
      </c>
    </row>
    <row r="196" spans="1:15" x14ac:dyDescent="0.35">
      <c r="A196" t="s">
        <v>44</v>
      </c>
      <c r="B196" t="s">
        <v>276</v>
      </c>
      <c r="C196" t="s">
        <v>311</v>
      </c>
      <c r="E196" t="s">
        <v>543</v>
      </c>
      <c r="F196" t="s">
        <v>44</v>
      </c>
      <c r="G196" t="s">
        <v>578</v>
      </c>
      <c r="H196" t="s">
        <v>842</v>
      </c>
      <c r="I196" t="s">
        <v>1093</v>
      </c>
      <c r="J196" s="2">
        <v>4</v>
      </c>
      <c r="K196" t="s">
        <v>1256</v>
      </c>
      <c r="L196" t="str">
        <f t="shared" si="4"/>
        <v>195</v>
      </c>
      <c r="M196">
        <v>9</v>
      </c>
      <c r="N196" t="s">
        <v>1497</v>
      </c>
      <c r="O196" t="s">
        <v>1493</v>
      </c>
    </row>
    <row r="197" spans="1:15" x14ac:dyDescent="0.35">
      <c r="A197" t="s">
        <v>241</v>
      </c>
      <c r="B197" t="s">
        <v>276</v>
      </c>
      <c r="C197" t="s">
        <v>508</v>
      </c>
      <c r="E197" t="s">
        <v>543</v>
      </c>
      <c r="F197" t="s">
        <v>241</v>
      </c>
      <c r="G197" t="s">
        <v>773</v>
      </c>
      <c r="H197" t="s">
        <v>1039</v>
      </c>
      <c r="I197" t="s">
        <v>1078</v>
      </c>
      <c r="J197" s="2">
        <v>0</v>
      </c>
      <c r="K197" t="s">
        <v>1453</v>
      </c>
      <c r="L197" t="str">
        <f t="shared" si="4"/>
        <v>196</v>
      </c>
      <c r="M197">
        <v>10</v>
      </c>
    </row>
    <row r="198" spans="1:15" x14ac:dyDescent="0.35">
      <c r="A198" t="s">
        <v>237</v>
      </c>
      <c r="B198" t="s">
        <v>276</v>
      </c>
      <c r="C198" t="s">
        <v>504</v>
      </c>
      <c r="E198" t="s">
        <v>543</v>
      </c>
      <c r="F198" t="s">
        <v>237</v>
      </c>
      <c r="G198" t="s">
        <v>769</v>
      </c>
      <c r="H198" t="s">
        <v>1035</v>
      </c>
      <c r="I198" t="s">
        <v>1078</v>
      </c>
      <c r="J198" s="2">
        <v>0</v>
      </c>
      <c r="K198" t="s">
        <v>1449</v>
      </c>
      <c r="L198" t="str">
        <f t="shared" si="4"/>
        <v>197</v>
      </c>
      <c r="M198">
        <v>10</v>
      </c>
    </row>
    <row r="199" spans="1:15" x14ac:dyDescent="0.35">
      <c r="A199" t="s">
        <v>155</v>
      </c>
      <c r="B199" t="s">
        <v>276</v>
      </c>
      <c r="C199" t="s">
        <v>422</v>
      </c>
      <c r="E199" t="s">
        <v>543</v>
      </c>
      <c r="F199" t="s">
        <v>155</v>
      </c>
      <c r="G199" t="s">
        <v>687</v>
      </c>
      <c r="H199" t="s">
        <v>953</v>
      </c>
      <c r="I199" t="s">
        <v>1078</v>
      </c>
      <c r="J199" s="2">
        <v>0</v>
      </c>
      <c r="K199" t="s">
        <v>1367</v>
      </c>
      <c r="L199" t="str">
        <f t="shared" si="4"/>
        <v>198</v>
      </c>
      <c r="M199">
        <v>10</v>
      </c>
    </row>
    <row r="200" spans="1:15" x14ac:dyDescent="0.35">
      <c r="A200" t="s">
        <v>228</v>
      </c>
      <c r="B200" t="s">
        <v>276</v>
      </c>
      <c r="C200" t="s">
        <v>495</v>
      </c>
      <c r="E200" t="s">
        <v>543</v>
      </c>
      <c r="F200" t="s">
        <v>228</v>
      </c>
      <c r="G200" t="s">
        <v>760</v>
      </c>
      <c r="H200" t="s">
        <v>1026</v>
      </c>
      <c r="I200" t="s">
        <v>1078</v>
      </c>
      <c r="J200" s="2">
        <v>0</v>
      </c>
      <c r="K200" t="s">
        <v>1440</v>
      </c>
      <c r="L200" t="str">
        <f t="shared" si="4"/>
        <v>199</v>
      </c>
      <c r="M200">
        <v>10</v>
      </c>
    </row>
    <row r="201" spans="1:15" x14ac:dyDescent="0.35">
      <c r="A201" t="s">
        <v>101</v>
      </c>
      <c r="B201" t="s">
        <v>276</v>
      </c>
      <c r="C201" t="s">
        <v>368</v>
      </c>
      <c r="E201" t="s">
        <v>543</v>
      </c>
      <c r="F201" t="s">
        <v>101</v>
      </c>
      <c r="G201" t="s">
        <v>634</v>
      </c>
      <c r="H201" t="s">
        <v>899</v>
      </c>
      <c r="I201" t="s">
        <v>1078</v>
      </c>
      <c r="J201" s="2">
        <v>0</v>
      </c>
      <c r="K201" t="s">
        <v>1313</v>
      </c>
      <c r="L201" t="str">
        <f t="shared" si="4"/>
        <v>200</v>
      </c>
      <c r="M201">
        <v>10</v>
      </c>
    </row>
    <row r="202" spans="1:15" x14ac:dyDescent="0.35">
      <c r="A202" t="s">
        <v>134</v>
      </c>
      <c r="B202" t="s">
        <v>276</v>
      </c>
      <c r="C202" t="s">
        <v>401</v>
      </c>
      <c r="E202" t="s">
        <v>543</v>
      </c>
      <c r="F202" t="s">
        <v>134</v>
      </c>
      <c r="G202" t="s">
        <v>666</v>
      </c>
      <c r="H202" t="s">
        <v>932</v>
      </c>
      <c r="I202" t="s">
        <v>1078</v>
      </c>
      <c r="J202" s="2">
        <v>0</v>
      </c>
      <c r="K202" t="s">
        <v>1346</v>
      </c>
      <c r="L202" t="str">
        <f t="shared" si="4"/>
        <v>201</v>
      </c>
      <c r="M202">
        <v>10</v>
      </c>
    </row>
    <row r="203" spans="1:15" x14ac:dyDescent="0.35">
      <c r="A203" t="s">
        <v>170</v>
      </c>
      <c r="B203" t="s">
        <v>276</v>
      </c>
      <c r="C203" t="s">
        <v>437</v>
      </c>
      <c r="E203" t="s">
        <v>543</v>
      </c>
      <c r="F203" t="s">
        <v>170</v>
      </c>
      <c r="G203" t="s">
        <v>702</v>
      </c>
      <c r="H203" t="s">
        <v>968</v>
      </c>
      <c r="I203" t="s">
        <v>1078</v>
      </c>
      <c r="J203" s="2">
        <v>0</v>
      </c>
      <c r="K203" t="s">
        <v>1382</v>
      </c>
      <c r="L203" t="str">
        <f t="shared" si="4"/>
        <v>202</v>
      </c>
      <c r="M203">
        <v>10</v>
      </c>
    </row>
    <row r="204" spans="1:15" x14ac:dyDescent="0.35">
      <c r="A204" t="s">
        <v>137</v>
      </c>
      <c r="B204" t="s">
        <v>276</v>
      </c>
      <c r="C204" t="s">
        <v>404</v>
      </c>
      <c r="E204" t="s">
        <v>543</v>
      </c>
      <c r="F204" t="s">
        <v>137</v>
      </c>
      <c r="G204" t="s">
        <v>669</v>
      </c>
      <c r="H204" t="s">
        <v>935</v>
      </c>
      <c r="I204" t="s">
        <v>1078</v>
      </c>
      <c r="J204" s="2">
        <v>0</v>
      </c>
      <c r="K204" t="s">
        <v>1349</v>
      </c>
      <c r="L204" t="str">
        <f t="shared" si="4"/>
        <v>203</v>
      </c>
      <c r="M204">
        <v>10</v>
      </c>
    </row>
    <row r="205" spans="1:15" x14ac:dyDescent="0.35">
      <c r="A205" t="s">
        <v>53</v>
      </c>
      <c r="B205" t="s">
        <v>276</v>
      </c>
      <c r="C205" t="s">
        <v>320</v>
      </c>
      <c r="E205" t="s">
        <v>543</v>
      </c>
      <c r="F205" t="s">
        <v>53</v>
      </c>
      <c r="G205" t="s">
        <v>587</v>
      </c>
      <c r="H205" t="s">
        <v>851</v>
      </c>
      <c r="I205" t="s">
        <v>1078</v>
      </c>
      <c r="J205" s="2">
        <v>0</v>
      </c>
      <c r="K205" t="s">
        <v>1265</v>
      </c>
      <c r="L205" t="str">
        <f t="shared" si="4"/>
        <v>204</v>
      </c>
      <c r="M205">
        <v>10</v>
      </c>
    </row>
    <row r="206" spans="1:15" x14ac:dyDescent="0.35">
      <c r="A206" t="s">
        <v>268</v>
      </c>
      <c r="B206" t="s">
        <v>276</v>
      </c>
      <c r="C206" t="s">
        <v>535</v>
      </c>
      <c r="E206" t="s">
        <v>543</v>
      </c>
      <c r="F206" t="s">
        <v>268</v>
      </c>
      <c r="G206" t="s">
        <v>800</v>
      </c>
      <c r="H206" t="s">
        <v>1066</v>
      </c>
      <c r="I206" t="s">
        <v>1078</v>
      </c>
      <c r="J206" s="2">
        <v>0</v>
      </c>
      <c r="K206" t="s">
        <v>1480</v>
      </c>
      <c r="L206" t="str">
        <f t="shared" si="4"/>
        <v>205</v>
      </c>
      <c r="M206">
        <v>10</v>
      </c>
    </row>
    <row r="207" spans="1:15" x14ac:dyDescent="0.35">
      <c r="A207" t="s">
        <v>267</v>
      </c>
      <c r="B207" t="s">
        <v>276</v>
      </c>
      <c r="C207" t="s">
        <v>534</v>
      </c>
      <c r="E207" t="s">
        <v>543</v>
      </c>
      <c r="F207" t="s">
        <v>267</v>
      </c>
      <c r="G207" t="s">
        <v>799</v>
      </c>
      <c r="H207" t="s">
        <v>1065</v>
      </c>
      <c r="I207" t="s">
        <v>1078</v>
      </c>
      <c r="J207" s="2">
        <v>0</v>
      </c>
      <c r="K207" t="s">
        <v>1479</v>
      </c>
      <c r="L207" t="str">
        <f t="shared" si="4"/>
        <v>206</v>
      </c>
      <c r="M207">
        <v>10</v>
      </c>
    </row>
    <row r="208" spans="1:15" x14ac:dyDescent="0.35">
      <c r="A208" t="s">
        <v>25</v>
      </c>
      <c r="B208" t="s">
        <v>276</v>
      </c>
      <c r="C208" t="s">
        <v>292</v>
      </c>
      <c r="E208" t="s">
        <v>543</v>
      </c>
      <c r="F208" t="s">
        <v>25</v>
      </c>
      <c r="G208" t="s">
        <v>559</v>
      </c>
      <c r="H208" t="s">
        <v>823</v>
      </c>
      <c r="I208" t="s">
        <v>1078</v>
      </c>
      <c r="J208" s="2">
        <v>0</v>
      </c>
      <c r="K208" t="s">
        <v>1237</v>
      </c>
      <c r="L208" t="str">
        <f t="shared" si="4"/>
        <v>207</v>
      </c>
      <c r="M208">
        <v>10</v>
      </c>
    </row>
    <row r="209" spans="1:13" x14ac:dyDescent="0.35">
      <c r="A209" t="s">
        <v>192</v>
      </c>
      <c r="B209" t="s">
        <v>276</v>
      </c>
      <c r="C209" t="s">
        <v>459</v>
      </c>
      <c r="E209" t="s">
        <v>543</v>
      </c>
      <c r="F209" t="s">
        <v>192</v>
      </c>
      <c r="G209" t="s">
        <v>724</v>
      </c>
      <c r="H209" t="s">
        <v>990</v>
      </c>
      <c r="I209" t="s">
        <v>1078</v>
      </c>
      <c r="J209" s="2">
        <v>0</v>
      </c>
      <c r="K209" t="s">
        <v>1404</v>
      </c>
      <c r="L209" t="str">
        <f t="shared" si="4"/>
        <v>208</v>
      </c>
      <c r="M209">
        <v>10</v>
      </c>
    </row>
    <row r="210" spans="1:13" x14ac:dyDescent="0.35">
      <c r="A210" t="s">
        <v>259</v>
      </c>
      <c r="B210" t="s">
        <v>276</v>
      </c>
      <c r="C210" t="s">
        <v>526</v>
      </c>
      <c r="E210" t="s">
        <v>543</v>
      </c>
      <c r="F210" t="s">
        <v>259</v>
      </c>
      <c r="G210" t="s">
        <v>791</v>
      </c>
      <c r="H210" t="s">
        <v>1057</v>
      </c>
      <c r="I210" t="s">
        <v>1078</v>
      </c>
      <c r="J210" s="2">
        <v>0</v>
      </c>
      <c r="K210" t="s">
        <v>1471</v>
      </c>
      <c r="L210" t="str">
        <f t="shared" si="4"/>
        <v>209</v>
      </c>
      <c r="M210">
        <v>10</v>
      </c>
    </row>
    <row r="211" spans="1:13" x14ac:dyDescent="0.35">
      <c r="A211" t="s">
        <v>80</v>
      </c>
      <c r="B211" t="s">
        <v>276</v>
      </c>
      <c r="C211" t="s">
        <v>347</v>
      </c>
      <c r="E211" t="s">
        <v>543</v>
      </c>
      <c r="F211" t="s">
        <v>80</v>
      </c>
      <c r="G211" t="s">
        <v>613</v>
      </c>
      <c r="H211" t="s">
        <v>878</v>
      </c>
      <c r="I211" t="s">
        <v>1078</v>
      </c>
      <c r="J211" s="2">
        <v>0</v>
      </c>
      <c r="K211" t="s">
        <v>1292</v>
      </c>
      <c r="L211" t="str">
        <f t="shared" si="4"/>
        <v>210</v>
      </c>
      <c r="M211">
        <v>10</v>
      </c>
    </row>
    <row r="212" spans="1:13" x14ac:dyDescent="0.35">
      <c r="A212" t="s">
        <v>255</v>
      </c>
      <c r="B212" t="s">
        <v>276</v>
      </c>
      <c r="C212" t="s">
        <v>522</v>
      </c>
      <c r="E212" t="s">
        <v>543</v>
      </c>
      <c r="F212" t="s">
        <v>255</v>
      </c>
      <c r="G212" t="s">
        <v>787</v>
      </c>
      <c r="H212" t="s">
        <v>1053</v>
      </c>
      <c r="I212" t="s">
        <v>1078</v>
      </c>
      <c r="J212" s="2">
        <v>0</v>
      </c>
      <c r="K212" t="s">
        <v>1467</v>
      </c>
      <c r="L212" t="str">
        <f t="shared" si="4"/>
        <v>211</v>
      </c>
      <c r="M212">
        <v>10</v>
      </c>
    </row>
    <row r="213" spans="1:13" x14ac:dyDescent="0.35">
      <c r="A213" t="s">
        <v>198</v>
      </c>
      <c r="B213" t="s">
        <v>276</v>
      </c>
      <c r="C213" t="s">
        <v>465</v>
      </c>
      <c r="E213" t="s">
        <v>543</v>
      </c>
      <c r="F213" t="s">
        <v>198</v>
      </c>
      <c r="G213" t="s">
        <v>730</v>
      </c>
      <c r="H213" t="s">
        <v>996</v>
      </c>
      <c r="I213" t="s">
        <v>1078</v>
      </c>
      <c r="J213" s="2">
        <v>0</v>
      </c>
      <c r="K213" t="s">
        <v>1410</v>
      </c>
      <c r="L213" t="str">
        <f t="shared" si="4"/>
        <v>212</v>
      </c>
      <c r="M213">
        <v>10</v>
      </c>
    </row>
    <row r="214" spans="1:13" x14ac:dyDescent="0.35">
      <c r="A214" t="s">
        <v>110</v>
      </c>
      <c r="B214" t="s">
        <v>276</v>
      </c>
      <c r="C214" t="s">
        <v>377</v>
      </c>
      <c r="E214" t="s">
        <v>543</v>
      </c>
      <c r="F214" t="s">
        <v>110</v>
      </c>
      <c r="G214" t="s">
        <v>643</v>
      </c>
      <c r="H214" t="s">
        <v>908</v>
      </c>
      <c r="I214" t="s">
        <v>1078</v>
      </c>
      <c r="J214" s="2">
        <v>0</v>
      </c>
      <c r="K214" t="s">
        <v>1322</v>
      </c>
      <c r="L214" t="str">
        <f t="shared" si="4"/>
        <v>213</v>
      </c>
      <c r="M214">
        <v>10</v>
      </c>
    </row>
    <row r="215" spans="1:13" x14ac:dyDescent="0.35">
      <c r="A215" t="s">
        <v>245</v>
      </c>
      <c r="B215" t="s">
        <v>276</v>
      </c>
      <c r="C215" t="s">
        <v>512</v>
      </c>
      <c r="E215" t="s">
        <v>543</v>
      </c>
      <c r="F215" t="s">
        <v>245</v>
      </c>
      <c r="G215" t="s">
        <v>777</v>
      </c>
      <c r="H215" t="s">
        <v>1043</v>
      </c>
      <c r="I215" t="s">
        <v>1078</v>
      </c>
      <c r="J215" s="2">
        <v>0</v>
      </c>
      <c r="K215" t="s">
        <v>1457</v>
      </c>
      <c r="L215" t="str">
        <f t="shared" si="4"/>
        <v>214</v>
      </c>
      <c r="M215">
        <v>10</v>
      </c>
    </row>
    <row r="216" spans="1:13" x14ac:dyDescent="0.35">
      <c r="A216" t="s">
        <v>69</v>
      </c>
      <c r="B216" t="s">
        <v>276</v>
      </c>
      <c r="C216" t="s">
        <v>336</v>
      </c>
      <c r="E216" t="s">
        <v>543</v>
      </c>
      <c r="F216" t="s">
        <v>69</v>
      </c>
      <c r="G216" t="s">
        <v>602</v>
      </c>
      <c r="H216" t="s">
        <v>867</v>
      </c>
      <c r="I216" t="s">
        <v>1078</v>
      </c>
      <c r="J216" s="2">
        <v>0</v>
      </c>
      <c r="K216" t="s">
        <v>1281</v>
      </c>
      <c r="L216" t="str">
        <f t="shared" si="4"/>
        <v>215</v>
      </c>
      <c r="M216">
        <v>10</v>
      </c>
    </row>
    <row r="217" spans="1:13" x14ac:dyDescent="0.35">
      <c r="A217" t="s">
        <v>244</v>
      </c>
      <c r="B217" t="s">
        <v>276</v>
      </c>
      <c r="C217" t="s">
        <v>511</v>
      </c>
      <c r="E217" t="s">
        <v>543</v>
      </c>
      <c r="F217" t="s">
        <v>244</v>
      </c>
      <c r="G217" t="s">
        <v>776</v>
      </c>
      <c r="H217" t="s">
        <v>1042</v>
      </c>
      <c r="I217" t="s">
        <v>1078</v>
      </c>
      <c r="J217" s="2">
        <v>0</v>
      </c>
      <c r="K217" t="s">
        <v>1456</v>
      </c>
      <c r="L217" t="str">
        <f t="shared" si="4"/>
        <v>216</v>
      </c>
      <c r="M217">
        <v>10</v>
      </c>
    </row>
    <row r="218" spans="1:13" x14ac:dyDescent="0.35">
      <c r="A218" t="s">
        <v>31</v>
      </c>
      <c r="B218" t="s">
        <v>276</v>
      </c>
      <c r="C218" t="s">
        <v>298</v>
      </c>
      <c r="E218" t="s">
        <v>543</v>
      </c>
      <c r="F218" t="s">
        <v>31</v>
      </c>
      <c r="G218" t="s">
        <v>565</v>
      </c>
      <c r="H218" t="s">
        <v>829</v>
      </c>
      <c r="I218" t="s">
        <v>1078</v>
      </c>
      <c r="J218" s="2">
        <v>0</v>
      </c>
      <c r="K218" t="s">
        <v>1243</v>
      </c>
      <c r="L218" t="str">
        <f t="shared" si="4"/>
        <v>217</v>
      </c>
      <c r="M218">
        <v>10</v>
      </c>
    </row>
    <row r="219" spans="1:13" x14ac:dyDescent="0.35">
      <c r="A219" t="s">
        <v>42</v>
      </c>
      <c r="B219" t="s">
        <v>276</v>
      </c>
      <c r="C219" t="s">
        <v>309</v>
      </c>
      <c r="E219" t="s">
        <v>543</v>
      </c>
      <c r="F219" t="s">
        <v>42</v>
      </c>
      <c r="G219" t="s">
        <v>576</v>
      </c>
      <c r="H219" t="s">
        <v>840</v>
      </c>
      <c r="I219" t="s">
        <v>1078</v>
      </c>
      <c r="J219" s="2">
        <v>0</v>
      </c>
      <c r="K219" t="s">
        <v>1254</v>
      </c>
      <c r="L219" t="str">
        <f t="shared" si="4"/>
        <v>218</v>
      </c>
      <c r="M219">
        <v>10</v>
      </c>
    </row>
    <row r="220" spans="1:13" x14ac:dyDescent="0.35">
      <c r="A220" t="s">
        <v>66</v>
      </c>
      <c r="B220" t="s">
        <v>276</v>
      </c>
      <c r="C220" t="s">
        <v>333</v>
      </c>
      <c r="E220" t="s">
        <v>543</v>
      </c>
      <c r="F220" t="s">
        <v>66</v>
      </c>
      <c r="G220" t="s">
        <v>599</v>
      </c>
      <c r="H220" t="s">
        <v>864</v>
      </c>
      <c r="I220" t="s">
        <v>1078</v>
      </c>
      <c r="J220" s="2">
        <v>0</v>
      </c>
      <c r="K220" t="s">
        <v>1278</v>
      </c>
      <c r="L220" t="str">
        <f t="shared" si="4"/>
        <v>219</v>
      </c>
      <c r="M220">
        <v>10</v>
      </c>
    </row>
    <row r="221" spans="1:13" x14ac:dyDescent="0.35">
      <c r="A221" t="s">
        <v>104</v>
      </c>
      <c r="B221" t="s">
        <v>276</v>
      </c>
      <c r="C221" t="s">
        <v>371</v>
      </c>
      <c r="E221" t="s">
        <v>543</v>
      </c>
      <c r="F221" t="s">
        <v>104</v>
      </c>
      <c r="G221" t="s">
        <v>637</v>
      </c>
      <c r="H221" t="s">
        <v>902</v>
      </c>
      <c r="I221" t="s">
        <v>1078</v>
      </c>
      <c r="J221" s="2">
        <v>0</v>
      </c>
      <c r="K221" t="s">
        <v>1316</v>
      </c>
      <c r="L221" t="str">
        <f t="shared" si="4"/>
        <v>220</v>
      </c>
      <c r="M221">
        <v>10</v>
      </c>
    </row>
    <row r="222" spans="1:13" x14ac:dyDescent="0.35">
      <c r="A222" t="s">
        <v>82</v>
      </c>
      <c r="B222" t="s">
        <v>276</v>
      </c>
      <c r="C222" t="s">
        <v>349</v>
      </c>
      <c r="E222" t="s">
        <v>543</v>
      </c>
      <c r="F222" t="s">
        <v>82</v>
      </c>
      <c r="G222" t="s">
        <v>615</v>
      </c>
      <c r="H222" t="s">
        <v>880</v>
      </c>
      <c r="I222" t="s">
        <v>1078</v>
      </c>
      <c r="J222" s="2">
        <v>0</v>
      </c>
      <c r="K222" t="s">
        <v>1294</v>
      </c>
      <c r="L222" t="str">
        <f t="shared" si="4"/>
        <v>221</v>
      </c>
      <c r="M222">
        <v>10</v>
      </c>
    </row>
    <row r="223" spans="1:13" x14ac:dyDescent="0.35">
      <c r="A223" t="s">
        <v>125</v>
      </c>
      <c r="B223" t="s">
        <v>276</v>
      </c>
      <c r="C223" t="s">
        <v>392</v>
      </c>
      <c r="E223" t="s">
        <v>543</v>
      </c>
      <c r="F223" t="s">
        <v>125</v>
      </c>
      <c r="G223" t="s">
        <v>657</v>
      </c>
      <c r="H223" t="s">
        <v>923</v>
      </c>
      <c r="I223" t="s">
        <v>1078</v>
      </c>
      <c r="J223" s="2">
        <v>0</v>
      </c>
      <c r="K223" t="s">
        <v>1337</v>
      </c>
      <c r="L223" t="str">
        <f t="shared" si="4"/>
        <v>222</v>
      </c>
      <c r="M223">
        <v>10</v>
      </c>
    </row>
    <row r="224" spans="1:13" x14ac:dyDescent="0.35">
      <c r="A224" t="s">
        <v>197</v>
      </c>
      <c r="B224" t="s">
        <v>276</v>
      </c>
      <c r="C224" t="s">
        <v>464</v>
      </c>
      <c r="E224" t="s">
        <v>543</v>
      </c>
      <c r="F224" t="s">
        <v>197</v>
      </c>
      <c r="G224" t="s">
        <v>729</v>
      </c>
      <c r="H224" t="s">
        <v>995</v>
      </c>
      <c r="I224" t="s">
        <v>1078</v>
      </c>
      <c r="J224" s="2">
        <v>0</v>
      </c>
      <c r="K224" t="s">
        <v>1409</v>
      </c>
      <c r="L224" t="str">
        <f t="shared" si="4"/>
        <v>223</v>
      </c>
      <c r="M224">
        <v>10</v>
      </c>
    </row>
    <row r="225" spans="1:13" x14ac:dyDescent="0.35">
      <c r="A225" t="s">
        <v>201</v>
      </c>
      <c r="B225" t="s">
        <v>276</v>
      </c>
      <c r="C225" t="s">
        <v>468</v>
      </c>
      <c r="E225" t="s">
        <v>543</v>
      </c>
      <c r="F225" t="s">
        <v>201</v>
      </c>
      <c r="G225" t="s">
        <v>733</v>
      </c>
      <c r="H225" t="s">
        <v>999</v>
      </c>
      <c r="I225" t="s">
        <v>1078</v>
      </c>
      <c r="J225" s="2">
        <v>0</v>
      </c>
      <c r="K225" t="s">
        <v>1413</v>
      </c>
      <c r="L225" t="str">
        <f t="shared" si="4"/>
        <v>224</v>
      </c>
      <c r="M225">
        <v>10</v>
      </c>
    </row>
    <row r="226" spans="1:13" x14ac:dyDescent="0.35">
      <c r="A226" t="s">
        <v>161</v>
      </c>
      <c r="B226" t="s">
        <v>276</v>
      </c>
      <c r="C226" t="s">
        <v>428</v>
      </c>
      <c r="E226" t="s">
        <v>543</v>
      </c>
      <c r="F226" t="s">
        <v>161</v>
      </c>
      <c r="G226" t="s">
        <v>693</v>
      </c>
      <c r="H226" t="s">
        <v>959</v>
      </c>
      <c r="I226" t="s">
        <v>1078</v>
      </c>
      <c r="J226" s="2">
        <v>0</v>
      </c>
      <c r="K226" t="s">
        <v>1373</v>
      </c>
      <c r="L226" t="str">
        <f t="shared" si="4"/>
        <v>225</v>
      </c>
      <c r="M226">
        <v>10</v>
      </c>
    </row>
    <row r="227" spans="1:13" x14ac:dyDescent="0.35">
      <c r="A227" t="s">
        <v>84</v>
      </c>
      <c r="B227" t="s">
        <v>276</v>
      </c>
      <c r="C227" t="s">
        <v>351</v>
      </c>
      <c r="E227" t="s">
        <v>543</v>
      </c>
      <c r="F227" t="s">
        <v>84</v>
      </c>
      <c r="G227" t="s">
        <v>617</v>
      </c>
      <c r="H227" t="s">
        <v>882</v>
      </c>
      <c r="I227" t="s">
        <v>1078</v>
      </c>
      <c r="J227" s="2">
        <v>0</v>
      </c>
      <c r="K227" t="s">
        <v>1296</v>
      </c>
      <c r="L227" t="str">
        <f t="shared" si="4"/>
        <v>226</v>
      </c>
      <c r="M227">
        <v>10</v>
      </c>
    </row>
    <row r="228" spans="1:13" x14ac:dyDescent="0.35">
      <c r="A228" t="s">
        <v>254</v>
      </c>
      <c r="B228" t="s">
        <v>276</v>
      </c>
      <c r="C228" t="s">
        <v>521</v>
      </c>
      <c r="E228" t="s">
        <v>543</v>
      </c>
      <c r="F228" t="s">
        <v>254</v>
      </c>
      <c r="G228" t="s">
        <v>786</v>
      </c>
      <c r="H228" t="s">
        <v>1052</v>
      </c>
      <c r="I228" t="s">
        <v>1078</v>
      </c>
      <c r="J228" s="2">
        <v>0</v>
      </c>
      <c r="K228" t="s">
        <v>1466</v>
      </c>
      <c r="L228" t="str">
        <f t="shared" si="4"/>
        <v>227</v>
      </c>
      <c r="M228">
        <v>10</v>
      </c>
    </row>
    <row r="229" spans="1:13" x14ac:dyDescent="0.35">
      <c r="A229" t="s">
        <v>73</v>
      </c>
      <c r="B229" t="s">
        <v>276</v>
      </c>
      <c r="C229" t="s">
        <v>340</v>
      </c>
      <c r="E229" t="s">
        <v>543</v>
      </c>
      <c r="F229" t="s">
        <v>73</v>
      </c>
      <c r="G229" t="s">
        <v>606</v>
      </c>
      <c r="H229" t="s">
        <v>871</v>
      </c>
      <c r="I229" t="s">
        <v>1078</v>
      </c>
      <c r="J229" s="2">
        <v>0</v>
      </c>
      <c r="K229" t="s">
        <v>1285</v>
      </c>
      <c r="L229" t="str">
        <f t="shared" si="4"/>
        <v>228</v>
      </c>
      <c r="M229">
        <v>10</v>
      </c>
    </row>
    <row r="230" spans="1:13" x14ac:dyDescent="0.35">
      <c r="A230" t="s">
        <v>212</v>
      </c>
      <c r="B230" t="s">
        <v>276</v>
      </c>
      <c r="C230" t="s">
        <v>479</v>
      </c>
      <c r="E230" t="s">
        <v>543</v>
      </c>
      <c r="F230" t="s">
        <v>212</v>
      </c>
      <c r="G230" t="s">
        <v>744</v>
      </c>
      <c r="H230" t="s">
        <v>1010</v>
      </c>
      <c r="I230" t="s">
        <v>1078</v>
      </c>
      <c r="J230" s="2">
        <v>0</v>
      </c>
      <c r="K230" t="s">
        <v>1424</v>
      </c>
      <c r="L230" t="str">
        <f t="shared" si="4"/>
        <v>229</v>
      </c>
      <c r="M230">
        <v>10</v>
      </c>
    </row>
    <row r="231" spans="1:13" x14ac:dyDescent="0.35">
      <c r="A231" t="s">
        <v>88</v>
      </c>
      <c r="B231" t="s">
        <v>276</v>
      </c>
      <c r="C231" t="s">
        <v>355</v>
      </c>
      <c r="E231" t="s">
        <v>543</v>
      </c>
      <c r="F231" t="s">
        <v>88</v>
      </c>
      <c r="G231" t="s">
        <v>621</v>
      </c>
      <c r="H231" t="s">
        <v>886</v>
      </c>
      <c r="I231" t="s">
        <v>1078</v>
      </c>
      <c r="J231" s="2">
        <v>0</v>
      </c>
      <c r="K231" t="s">
        <v>1300</v>
      </c>
      <c r="L231" t="str">
        <f t="shared" si="4"/>
        <v>230</v>
      </c>
      <c r="M231">
        <v>10</v>
      </c>
    </row>
    <row r="232" spans="1:13" x14ac:dyDescent="0.35">
      <c r="A232" t="s">
        <v>14</v>
      </c>
      <c r="B232" t="s">
        <v>276</v>
      </c>
      <c r="C232" t="s">
        <v>281</v>
      </c>
      <c r="E232" t="s">
        <v>543</v>
      </c>
      <c r="F232" t="s">
        <v>14</v>
      </c>
      <c r="G232" t="s">
        <v>548</v>
      </c>
      <c r="H232" t="s">
        <v>812</v>
      </c>
      <c r="I232" t="s">
        <v>1078</v>
      </c>
      <c r="J232" s="2">
        <v>0</v>
      </c>
      <c r="K232" t="s">
        <v>1226</v>
      </c>
      <c r="L232" t="str">
        <f t="shared" si="4"/>
        <v>231</v>
      </c>
      <c r="M232">
        <v>10</v>
      </c>
    </row>
    <row r="233" spans="1:13" x14ac:dyDescent="0.35">
      <c r="A233" t="s">
        <v>74</v>
      </c>
      <c r="B233" t="s">
        <v>276</v>
      </c>
      <c r="C233" t="s">
        <v>341</v>
      </c>
      <c r="E233" t="s">
        <v>543</v>
      </c>
      <c r="F233" t="s">
        <v>74</v>
      </c>
      <c r="G233" t="s">
        <v>607</v>
      </c>
      <c r="H233" t="s">
        <v>872</v>
      </c>
      <c r="I233" t="s">
        <v>1078</v>
      </c>
      <c r="J233" s="2">
        <v>0</v>
      </c>
      <c r="K233" t="s">
        <v>1286</v>
      </c>
      <c r="L233" t="str">
        <f t="shared" si="4"/>
        <v>232</v>
      </c>
      <c r="M233">
        <v>10</v>
      </c>
    </row>
    <row r="234" spans="1:13" x14ac:dyDescent="0.35">
      <c r="A234" t="s">
        <v>272</v>
      </c>
      <c r="B234" t="s">
        <v>276</v>
      </c>
      <c r="C234" t="s">
        <v>539</v>
      </c>
      <c r="E234" t="s">
        <v>543</v>
      </c>
      <c r="F234" t="s">
        <v>272</v>
      </c>
      <c r="G234" t="s">
        <v>804</v>
      </c>
      <c r="H234" t="s">
        <v>1070</v>
      </c>
      <c r="I234" t="s">
        <v>1078</v>
      </c>
      <c r="J234" s="2">
        <v>0</v>
      </c>
      <c r="K234" t="s">
        <v>1484</v>
      </c>
      <c r="L234" t="str">
        <f t="shared" si="4"/>
        <v>233</v>
      </c>
      <c r="M234">
        <v>10</v>
      </c>
    </row>
    <row r="235" spans="1:13" x14ac:dyDescent="0.35">
      <c r="A235" t="s">
        <v>188</v>
      </c>
      <c r="B235" t="s">
        <v>276</v>
      </c>
      <c r="C235" t="s">
        <v>455</v>
      </c>
      <c r="E235" t="s">
        <v>543</v>
      </c>
      <c r="F235" t="s">
        <v>188</v>
      </c>
      <c r="G235" t="s">
        <v>720</v>
      </c>
      <c r="H235" t="s">
        <v>986</v>
      </c>
      <c r="I235" t="s">
        <v>1078</v>
      </c>
      <c r="J235" s="2">
        <v>0</v>
      </c>
      <c r="K235" t="s">
        <v>1400</v>
      </c>
      <c r="L235" t="str">
        <f t="shared" si="4"/>
        <v>234</v>
      </c>
      <c r="M235">
        <v>10</v>
      </c>
    </row>
    <row r="236" spans="1:13" x14ac:dyDescent="0.35">
      <c r="A236" t="s">
        <v>238</v>
      </c>
      <c r="B236" t="s">
        <v>276</v>
      </c>
      <c r="C236" t="s">
        <v>505</v>
      </c>
      <c r="E236" t="s">
        <v>543</v>
      </c>
      <c r="F236" t="s">
        <v>238</v>
      </c>
      <c r="G236" t="s">
        <v>770</v>
      </c>
      <c r="H236" t="s">
        <v>1036</v>
      </c>
      <c r="I236" t="s">
        <v>1078</v>
      </c>
      <c r="J236" s="2">
        <v>0</v>
      </c>
      <c r="K236" t="s">
        <v>1450</v>
      </c>
      <c r="L236" t="str">
        <f t="shared" si="4"/>
        <v>235</v>
      </c>
      <c r="M236">
        <v>10</v>
      </c>
    </row>
    <row r="237" spans="1:13" x14ac:dyDescent="0.35">
      <c r="A237" t="s">
        <v>59</v>
      </c>
      <c r="B237" t="s">
        <v>276</v>
      </c>
      <c r="C237" t="s">
        <v>326</v>
      </c>
      <c r="E237" t="s">
        <v>543</v>
      </c>
      <c r="F237" t="s">
        <v>59</v>
      </c>
      <c r="G237" t="s">
        <v>593</v>
      </c>
      <c r="H237" t="s">
        <v>857</v>
      </c>
      <c r="I237" t="s">
        <v>1078</v>
      </c>
      <c r="J237" s="2">
        <v>0</v>
      </c>
      <c r="K237" t="s">
        <v>1271</v>
      </c>
      <c r="L237" t="str">
        <f t="shared" si="4"/>
        <v>236</v>
      </c>
      <c r="M237">
        <v>10</v>
      </c>
    </row>
    <row r="238" spans="1:13" x14ac:dyDescent="0.35">
      <c r="A238" t="s">
        <v>253</v>
      </c>
      <c r="B238" t="s">
        <v>276</v>
      </c>
      <c r="C238" t="s">
        <v>520</v>
      </c>
      <c r="E238" t="s">
        <v>543</v>
      </c>
      <c r="F238" t="s">
        <v>253</v>
      </c>
      <c r="G238" t="s">
        <v>785</v>
      </c>
      <c r="H238" t="s">
        <v>1051</v>
      </c>
      <c r="I238" t="s">
        <v>1078</v>
      </c>
      <c r="J238" s="2">
        <v>0</v>
      </c>
      <c r="K238" t="s">
        <v>1465</v>
      </c>
      <c r="L238" t="str">
        <f t="shared" si="4"/>
        <v>237</v>
      </c>
      <c r="M238">
        <v>10</v>
      </c>
    </row>
    <row r="239" spans="1:13" x14ac:dyDescent="0.35">
      <c r="A239" t="s">
        <v>90</v>
      </c>
      <c r="B239" t="s">
        <v>276</v>
      </c>
      <c r="C239" t="s">
        <v>357</v>
      </c>
      <c r="E239" t="s">
        <v>543</v>
      </c>
      <c r="F239" t="s">
        <v>90</v>
      </c>
      <c r="G239" t="s">
        <v>623</v>
      </c>
      <c r="H239" t="s">
        <v>888</v>
      </c>
      <c r="I239" t="s">
        <v>1078</v>
      </c>
      <c r="J239" s="2">
        <v>0</v>
      </c>
      <c r="K239" t="s">
        <v>1302</v>
      </c>
      <c r="L239" t="str">
        <f t="shared" si="4"/>
        <v>238</v>
      </c>
      <c r="M239">
        <v>10</v>
      </c>
    </row>
    <row r="240" spans="1:13" x14ac:dyDescent="0.35">
      <c r="A240" t="s">
        <v>159</v>
      </c>
      <c r="B240" t="s">
        <v>276</v>
      </c>
      <c r="C240" t="s">
        <v>426</v>
      </c>
      <c r="E240" t="s">
        <v>543</v>
      </c>
      <c r="F240" t="s">
        <v>159</v>
      </c>
      <c r="G240" t="s">
        <v>691</v>
      </c>
      <c r="H240" t="s">
        <v>957</v>
      </c>
      <c r="I240" t="s">
        <v>1078</v>
      </c>
      <c r="J240" s="2">
        <v>0</v>
      </c>
      <c r="K240" t="s">
        <v>1371</v>
      </c>
      <c r="L240" t="str">
        <f t="shared" si="4"/>
        <v>239</v>
      </c>
      <c r="M240">
        <v>10</v>
      </c>
    </row>
    <row r="241" spans="1:15" x14ac:dyDescent="0.35">
      <c r="A241" t="s">
        <v>24</v>
      </c>
      <c r="B241" t="s">
        <v>276</v>
      </c>
      <c r="C241" t="s">
        <v>291</v>
      </c>
      <c r="E241" t="s">
        <v>543</v>
      </c>
      <c r="F241" t="s">
        <v>24</v>
      </c>
      <c r="G241" t="s">
        <v>558</v>
      </c>
      <c r="H241" t="s">
        <v>822</v>
      </c>
      <c r="I241" t="s">
        <v>1078</v>
      </c>
      <c r="J241" s="2">
        <v>0</v>
      </c>
      <c r="K241" t="s">
        <v>1236</v>
      </c>
      <c r="L241" t="str">
        <f t="shared" si="4"/>
        <v>240</v>
      </c>
      <c r="M241">
        <v>10</v>
      </c>
    </row>
    <row r="242" spans="1:15" x14ac:dyDescent="0.35">
      <c r="A242" t="s">
        <v>109</v>
      </c>
      <c r="B242" t="s">
        <v>276</v>
      </c>
      <c r="C242" t="s">
        <v>376</v>
      </c>
      <c r="E242" t="s">
        <v>543</v>
      </c>
      <c r="F242" t="s">
        <v>109</v>
      </c>
      <c r="G242" t="s">
        <v>642</v>
      </c>
      <c r="H242" t="s">
        <v>907</v>
      </c>
      <c r="I242" t="s">
        <v>1078</v>
      </c>
      <c r="J242" s="2">
        <v>0</v>
      </c>
      <c r="K242" t="s">
        <v>1321</v>
      </c>
      <c r="L242" t="str">
        <f t="shared" si="4"/>
        <v>241</v>
      </c>
      <c r="M242">
        <v>10</v>
      </c>
    </row>
    <row r="243" spans="1:15" x14ac:dyDescent="0.35">
      <c r="A243" t="s">
        <v>177</v>
      </c>
      <c r="B243" t="s">
        <v>276</v>
      </c>
      <c r="C243" t="s">
        <v>444</v>
      </c>
      <c r="E243" t="s">
        <v>543</v>
      </c>
      <c r="F243" t="s">
        <v>177</v>
      </c>
      <c r="G243" t="s">
        <v>709</v>
      </c>
      <c r="H243" t="s">
        <v>975</v>
      </c>
      <c r="I243" t="s">
        <v>1078</v>
      </c>
      <c r="J243" s="2">
        <v>0</v>
      </c>
      <c r="K243" t="s">
        <v>1389</v>
      </c>
      <c r="L243" t="str">
        <f t="shared" si="4"/>
        <v>242</v>
      </c>
      <c r="M243">
        <v>10</v>
      </c>
    </row>
    <row r="244" spans="1:15" x14ac:dyDescent="0.35">
      <c r="A244" t="s">
        <v>218</v>
      </c>
      <c r="B244" t="s">
        <v>276</v>
      </c>
      <c r="C244" t="s">
        <v>485</v>
      </c>
      <c r="E244" t="s">
        <v>543</v>
      </c>
      <c r="F244" t="s">
        <v>218</v>
      </c>
      <c r="G244" t="s">
        <v>750</v>
      </c>
      <c r="H244" t="s">
        <v>1016</v>
      </c>
      <c r="I244" t="s">
        <v>1078</v>
      </c>
      <c r="J244" s="2">
        <v>0</v>
      </c>
      <c r="K244" t="s">
        <v>1430</v>
      </c>
      <c r="L244" t="str">
        <f t="shared" si="4"/>
        <v>243</v>
      </c>
      <c r="M244">
        <v>10</v>
      </c>
    </row>
    <row r="245" spans="1:15" x14ac:dyDescent="0.35">
      <c r="A245" t="s">
        <v>221</v>
      </c>
      <c r="B245" t="s">
        <v>276</v>
      </c>
      <c r="C245" t="s">
        <v>488</v>
      </c>
      <c r="E245" t="s">
        <v>543</v>
      </c>
      <c r="F245" t="s">
        <v>221</v>
      </c>
      <c r="G245" t="s">
        <v>753</v>
      </c>
      <c r="H245" t="s">
        <v>1019</v>
      </c>
      <c r="I245" t="s">
        <v>1078</v>
      </c>
      <c r="J245" s="2">
        <v>0</v>
      </c>
      <c r="K245" t="s">
        <v>1433</v>
      </c>
      <c r="L245" t="str">
        <f t="shared" si="4"/>
        <v>244</v>
      </c>
      <c r="M245">
        <v>10</v>
      </c>
    </row>
    <row r="246" spans="1:15" x14ac:dyDescent="0.35">
      <c r="A246" t="s">
        <v>28</v>
      </c>
      <c r="B246" t="s">
        <v>276</v>
      </c>
      <c r="C246" t="s">
        <v>295</v>
      </c>
      <c r="E246" t="s">
        <v>543</v>
      </c>
      <c r="F246" t="s">
        <v>28</v>
      </c>
      <c r="G246" t="s">
        <v>562</v>
      </c>
      <c r="H246" t="s">
        <v>826</v>
      </c>
      <c r="I246" t="s">
        <v>1078</v>
      </c>
      <c r="J246" s="2">
        <v>0</v>
      </c>
      <c r="K246" t="s">
        <v>1240</v>
      </c>
      <c r="L246" t="str">
        <f t="shared" si="4"/>
        <v>245</v>
      </c>
      <c r="M246">
        <v>10</v>
      </c>
    </row>
    <row r="247" spans="1:15" x14ac:dyDescent="0.35">
      <c r="A247" t="s">
        <v>39</v>
      </c>
      <c r="B247" t="s">
        <v>276</v>
      </c>
      <c r="C247" t="s">
        <v>306</v>
      </c>
      <c r="E247" t="s">
        <v>543</v>
      </c>
      <c r="F247" t="s">
        <v>39</v>
      </c>
      <c r="G247" t="s">
        <v>573</v>
      </c>
      <c r="H247" t="s">
        <v>837</v>
      </c>
      <c r="I247" t="s">
        <v>1090</v>
      </c>
      <c r="J247" s="2">
        <v>3</v>
      </c>
      <c r="K247" t="s">
        <v>1251</v>
      </c>
      <c r="L247" t="str">
        <f t="shared" si="4"/>
        <v>246</v>
      </c>
      <c r="M247">
        <v>8</v>
      </c>
      <c r="N247" t="s">
        <v>1498</v>
      </c>
      <c r="O247" t="s">
        <v>1493</v>
      </c>
    </row>
    <row r="248" spans="1:15" x14ac:dyDescent="0.35">
      <c r="A248" t="s">
        <v>122</v>
      </c>
      <c r="B248" t="s">
        <v>276</v>
      </c>
      <c r="C248" t="s">
        <v>389</v>
      </c>
      <c r="E248" t="s">
        <v>543</v>
      </c>
      <c r="F248" t="s">
        <v>122</v>
      </c>
      <c r="G248" t="s">
        <v>655</v>
      </c>
      <c r="H248" t="s">
        <v>920</v>
      </c>
      <c r="I248" t="s">
        <v>1078</v>
      </c>
      <c r="J248" s="2">
        <v>0</v>
      </c>
      <c r="K248" t="s">
        <v>1334</v>
      </c>
      <c r="L248" t="str">
        <f t="shared" si="4"/>
        <v>247</v>
      </c>
      <c r="M248">
        <v>10</v>
      </c>
    </row>
    <row r="249" spans="1:15" x14ac:dyDescent="0.35">
      <c r="A249" t="s">
        <v>227</v>
      </c>
      <c r="B249" t="s">
        <v>276</v>
      </c>
      <c r="C249" t="s">
        <v>494</v>
      </c>
      <c r="E249" t="s">
        <v>543</v>
      </c>
      <c r="F249" t="s">
        <v>227</v>
      </c>
      <c r="G249" t="s">
        <v>759</v>
      </c>
      <c r="H249" t="s">
        <v>1025</v>
      </c>
      <c r="I249" t="s">
        <v>1198</v>
      </c>
      <c r="J249" s="2">
        <v>6</v>
      </c>
      <c r="K249" t="s">
        <v>1439</v>
      </c>
      <c r="L249" t="str">
        <f t="shared" si="4"/>
        <v>248</v>
      </c>
      <c r="M249">
        <v>10</v>
      </c>
      <c r="N249" t="s">
        <v>1499</v>
      </c>
    </row>
    <row r="250" spans="1:15" x14ac:dyDescent="0.35">
      <c r="A250" t="s">
        <v>271</v>
      </c>
      <c r="B250" t="s">
        <v>276</v>
      </c>
      <c r="C250" t="s">
        <v>538</v>
      </c>
      <c r="E250" t="s">
        <v>543</v>
      </c>
      <c r="F250" t="s">
        <v>271</v>
      </c>
      <c r="G250" t="s">
        <v>803</v>
      </c>
      <c r="H250" t="s">
        <v>1069</v>
      </c>
      <c r="I250" t="s">
        <v>1078</v>
      </c>
      <c r="J250" s="2">
        <v>0</v>
      </c>
      <c r="K250" t="s">
        <v>1483</v>
      </c>
      <c r="L250" t="str">
        <f t="shared" si="4"/>
        <v>249</v>
      </c>
      <c r="M250">
        <v>10</v>
      </c>
    </row>
    <row r="251" spans="1:15" x14ac:dyDescent="0.35">
      <c r="A251" t="s">
        <v>199</v>
      </c>
      <c r="B251" t="s">
        <v>276</v>
      </c>
      <c r="C251" t="s">
        <v>466</v>
      </c>
      <c r="E251" t="s">
        <v>543</v>
      </c>
      <c r="F251" t="s">
        <v>199</v>
      </c>
      <c r="G251" t="s">
        <v>731</v>
      </c>
      <c r="H251" t="s">
        <v>997</v>
      </c>
      <c r="I251" t="s">
        <v>1180</v>
      </c>
      <c r="J251" s="2">
        <v>5</v>
      </c>
      <c r="K251" t="s">
        <v>1411</v>
      </c>
      <c r="L251" t="str">
        <f t="shared" si="4"/>
        <v>250</v>
      </c>
      <c r="M251">
        <v>7</v>
      </c>
      <c r="N251" t="s">
        <v>1500</v>
      </c>
      <c r="O251" t="s">
        <v>1493</v>
      </c>
    </row>
    <row r="252" spans="1:15" x14ac:dyDescent="0.35">
      <c r="A252" t="s">
        <v>43</v>
      </c>
      <c r="B252" t="s">
        <v>276</v>
      </c>
      <c r="C252" t="s">
        <v>310</v>
      </c>
      <c r="E252" t="s">
        <v>543</v>
      </c>
      <c r="F252" t="s">
        <v>43</v>
      </c>
      <c r="G252" t="s">
        <v>577</v>
      </c>
      <c r="H252" t="s">
        <v>841</v>
      </c>
      <c r="I252" t="s">
        <v>1078</v>
      </c>
      <c r="J252" s="2">
        <v>0</v>
      </c>
      <c r="K252" t="s">
        <v>1255</v>
      </c>
      <c r="L252" t="str">
        <f t="shared" si="4"/>
        <v>251</v>
      </c>
      <c r="M252">
        <v>10</v>
      </c>
    </row>
    <row r="253" spans="1:15" x14ac:dyDescent="0.35">
      <c r="A253" t="s">
        <v>275</v>
      </c>
      <c r="B253" t="s">
        <v>276</v>
      </c>
      <c r="C253" t="s">
        <v>542</v>
      </c>
      <c r="E253" t="s">
        <v>543</v>
      </c>
      <c r="F253" t="s">
        <v>275</v>
      </c>
      <c r="G253" t="s">
        <v>807</v>
      </c>
      <c r="H253" t="s">
        <v>1073</v>
      </c>
      <c r="I253" t="s">
        <v>1078</v>
      </c>
      <c r="J253" s="2">
        <v>0</v>
      </c>
      <c r="K253" t="s">
        <v>1487</v>
      </c>
      <c r="L253" t="str">
        <f t="shared" si="4"/>
        <v>252</v>
      </c>
      <c r="M253">
        <v>10</v>
      </c>
    </row>
    <row r="254" spans="1:15" x14ac:dyDescent="0.35">
      <c r="A254" t="s">
        <v>15</v>
      </c>
      <c r="B254" t="s">
        <v>276</v>
      </c>
      <c r="C254" t="s">
        <v>282</v>
      </c>
      <c r="E254" t="s">
        <v>543</v>
      </c>
      <c r="F254" t="s">
        <v>15</v>
      </c>
      <c r="G254" t="s">
        <v>549</v>
      </c>
      <c r="H254" t="s">
        <v>813</v>
      </c>
      <c r="I254" t="s">
        <v>1078</v>
      </c>
      <c r="J254" s="2">
        <v>0</v>
      </c>
      <c r="K254" t="s">
        <v>1227</v>
      </c>
      <c r="L254" t="str">
        <f t="shared" si="4"/>
        <v>253</v>
      </c>
      <c r="M254">
        <v>10</v>
      </c>
    </row>
    <row r="255" spans="1:15" x14ac:dyDescent="0.35">
      <c r="A255" t="s">
        <v>37</v>
      </c>
      <c r="B255" t="s">
        <v>276</v>
      </c>
      <c r="C255" t="s">
        <v>304</v>
      </c>
      <c r="E255" t="s">
        <v>543</v>
      </c>
      <c r="F255" t="s">
        <v>37</v>
      </c>
      <c r="G255" t="s">
        <v>571</v>
      </c>
      <c r="H255" t="s">
        <v>835</v>
      </c>
      <c r="I255" t="s">
        <v>1078</v>
      </c>
      <c r="J255" s="2">
        <v>0</v>
      </c>
      <c r="K255" t="s">
        <v>1249</v>
      </c>
      <c r="L255" t="str">
        <f t="shared" si="4"/>
        <v>254</v>
      </c>
      <c r="M255">
        <v>10</v>
      </c>
    </row>
    <row r="256" spans="1:15" x14ac:dyDescent="0.35">
      <c r="A256" t="s">
        <v>184</v>
      </c>
      <c r="B256" t="s">
        <v>276</v>
      </c>
      <c r="C256" t="s">
        <v>451</v>
      </c>
      <c r="E256" t="s">
        <v>543</v>
      </c>
      <c r="F256" t="s">
        <v>184</v>
      </c>
      <c r="G256" t="s">
        <v>716</v>
      </c>
      <c r="H256" t="s">
        <v>982</v>
      </c>
      <c r="I256" t="s">
        <v>1078</v>
      </c>
      <c r="J256" s="2">
        <v>0</v>
      </c>
      <c r="K256" t="s">
        <v>1396</v>
      </c>
      <c r="L256" t="str">
        <f t="shared" si="4"/>
        <v>255</v>
      </c>
      <c r="M256">
        <v>10</v>
      </c>
    </row>
    <row r="257" spans="1:15" x14ac:dyDescent="0.35">
      <c r="A257" t="s">
        <v>57</v>
      </c>
      <c r="B257" t="s">
        <v>276</v>
      </c>
      <c r="C257" t="s">
        <v>324</v>
      </c>
      <c r="E257" t="s">
        <v>543</v>
      </c>
      <c r="F257" t="s">
        <v>57</v>
      </c>
      <c r="G257" t="s">
        <v>591</v>
      </c>
      <c r="H257" t="s">
        <v>855</v>
      </c>
      <c r="I257" t="s">
        <v>1078</v>
      </c>
      <c r="J257" s="2">
        <v>0</v>
      </c>
      <c r="K257" t="s">
        <v>1269</v>
      </c>
      <c r="L257" t="str">
        <f t="shared" si="4"/>
        <v>256</v>
      </c>
      <c r="M257">
        <v>10</v>
      </c>
    </row>
    <row r="258" spans="1:15" x14ac:dyDescent="0.35">
      <c r="A258" t="s">
        <v>135</v>
      </c>
      <c r="B258" t="s">
        <v>276</v>
      </c>
      <c r="C258" t="s">
        <v>402</v>
      </c>
      <c r="E258" t="s">
        <v>543</v>
      </c>
      <c r="F258" t="s">
        <v>135</v>
      </c>
      <c r="G258" t="s">
        <v>667</v>
      </c>
      <c r="H258" t="s">
        <v>933</v>
      </c>
      <c r="I258" t="s">
        <v>1078</v>
      </c>
      <c r="J258" s="2">
        <v>0</v>
      </c>
      <c r="K258" t="s">
        <v>1347</v>
      </c>
      <c r="L258" t="str">
        <f t="shared" si="4"/>
        <v>257</v>
      </c>
      <c r="M258">
        <v>10</v>
      </c>
    </row>
    <row r="259" spans="1:15" x14ac:dyDescent="0.35">
      <c r="A259" t="s">
        <v>140</v>
      </c>
      <c r="B259" t="s">
        <v>276</v>
      </c>
      <c r="C259" t="s">
        <v>407</v>
      </c>
      <c r="E259" t="s">
        <v>543</v>
      </c>
      <c r="F259" t="s">
        <v>140</v>
      </c>
      <c r="G259" t="s">
        <v>672</v>
      </c>
      <c r="H259" t="s">
        <v>938</v>
      </c>
      <c r="I259" t="s">
        <v>1078</v>
      </c>
      <c r="J259" s="2">
        <v>0</v>
      </c>
      <c r="K259" t="s">
        <v>1352</v>
      </c>
      <c r="L259" t="str">
        <f t="shared" ref="L259:L267" si="5">LEFT(RIGHT(A259,7),3)</f>
        <v>258</v>
      </c>
      <c r="M259">
        <v>10</v>
      </c>
    </row>
    <row r="260" spans="1:15" x14ac:dyDescent="0.35">
      <c r="A260" t="s">
        <v>270</v>
      </c>
      <c r="B260" t="s">
        <v>276</v>
      </c>
      <c r="C260" t="s">
        <v>537</v>
      </c>
      <c r="E260" t="s">
        <v>543</v>
      </c>
      <c r="F260" t="s">
        <v>270</v>
      </c>
      <c r="G260" t="s">
        <v>802</v>
      </c>
      <c r="H260" t="s">
        <v>1068</v>
      </c>
      <c r="I260" t="s">
        <v>1078</v>
      </c>
      <c r="J260" s="2">
        <v>0</v>
      </c>
      <c r="K260" t="s">
        <v>1482</v>
      </c>
      <c r="L260" t="str">
        <f t="shared" si="5"/>
        <v>259</v>
      </c>
      <c r="M260">
        <v>10</v>
      </c>
    </row>
    <row r="261" spans="1:15" x14ac:dyDescent="0.35">
      <c r="A261" t="s">
        <v>156</v>
      </c>
      <c r="B261" t="s">
        <v>276</v>
      </c>
      <c r="C261" t="s">
        <v>423</v>
      </c>
      <c r="E261" t="s">
        <v>543</v>
      </c>
      <c r="F261" t="s">
        <v>156</v>
      </c>
      <c r="G261" t="s">
        <v>688</v>
      </c>
      <c r="H261" t="s">
        <v>954</v>
      </c>
      <c r="I261" t="s">
        <v>1078</v>
      </c>
      <c r="J261" s="2">
        <v>0</v>
      </c>
      <c r="K261" t="s">
        <v>1368</v>
      </c>
      <c r="L261" t="str">
        <f t="shared" si="5"/>
        <v>260</v>
      </c>
      <c r="M261">
        <v>10</v>
      </c>
    </row>
    <row r="262" spans="1:15" x14ac:dyDescent="0.35">
      <c r="A262" t="s">
        <v>229</v>
      </c>
      <c r="B262" t="s">
        <v>276</v>
      </c>
      <c r="C262" t="s">
        <v>496</v>
      </c>
      <c r="E262" t="s">
        <v>543</v>
      </c>
      <c r="F262" t="s">
        <v>229</v>
      </c>
      <c r="G262" t="s">
        <v>761</v>
      </c>
      <c r="H262" t="s">
        <v>1027</v>
      </c>
      <c r="I262" t="s">
        <v>1199</v>
      </c>
      <c r="J262" s="2">
        <v>3</v>
      </c>
      <c r="K262" t="s">
        <v>1441</v>
      </c>
      <c r="L262" t="str">
        <f t="shared" si="5"/>
        <v>261</v>
      </c>
      <c r="M262">
        <v>8</v>
      </c>
      <c r="N262" t="s">
        <v>1498</v>
      </c>
      <c r="O262" t="s">
        <v>1493</v>
      </c>
    </row>
    <row r="263" spans="1:15" x14ac:dyDescent="0.35">
      <c r="A263" t="s">
        <v>168</v>
      </c>
      <c r="B263" t="s">
        <v>276</v>
      </c>
      <c r="C263" t="s">
        <v>435</v>
      </c>
      <c r="E263" t="s">
        <v>543</v>
      </c>
      <c r="F263" t="s">
        <v>168</v>
      </c>
      <c r="G263" t="s">
        <v>700</v>
      </c>
      <c r="H263" t="s">
        <v>966</v>
      </c>
      <c r="I263" t="s">
        <v>1078</v>
      </c>
      <c r="J263" s="2">
        <v>0</v>
      </c>
      <c r="K263" t="s">
        <v>1380</v>
      </c>
      <c r="L263" t="str">
        <f t="shared" si="5"/>
        <v>262</v>
      </c>
      <c r="M263">
        <v>10</v>
      </c>
    </row>
    <row r="264" spans="1:15" x14ac:dyDescent="0.35">
      <c r="A264" t="s">
        <v>63</v>
      </c>
      <c r="B264" t="s">
        <v>276</v>
      </c>
      <c r="C264" t="s">
        <v>330</v>
      </c>
      <c r="E264" t="s">
        <v>543</v>
      </c>
      <c r="F264" t="s">
        <v>63</v>
      </c>
      <c r="G264" t="s">
        <v>596</v>
      </c>
      <c r="H264" t="s">
        <v>861</v>
      </c>
      <c r="I264" t="s">
        <v>1078</v>
      </c>
      <c r="J264" s="2">
        <v>0</v>
      </c>
      <c r="K264" t="s">
        <v>1275</v>
      </c>
      <c r="L264" t="str">
        <f t="shared" si="5"/>
        <v>263</v>
      </c>
      <c r="M264">
        <v>10</v>
      </c>
    </row>
    <row r="265" spans="1:15" x14ac:dyDescent="0.35">
      <c r="A265" t="s">
        <v>34</v>
      </c>
      <c r="B265" t="s">
        <v>276</v>
      </c>
      <c r="C265" t="s">
        <v>301</v>
      </c>
      <c r="E265" t="s">
        <v>543</v>
      </c>
      <c r="F265" t="s">
        <v>34</v>
      </c>
      <c r="G265" t="s">
        <v>568</v>
      </c>
      <c r="H265" t="s">
        <v>832</v>
      </c>
      <c r="I265" t="s">
        <v>1078</v>
      </c>
      <c r="J265" s="2">
        <v>0</v>
      </c>
      <c r="K265" t="s">
        <v>1246</v>
      </c>
      <c r="L265" t="str">
        <f t="shared" si="5"/>
        <v>264</v>
      </c>
      <c r="M265">
        <v>10</v>
      </c>
    </row>
    <row r="266" spans="1:15" x14ac:dyDescent="0.35">
      <c r="A266" t="s">
        <v>224</v>
      </c>
      <c r="B266" t="s">
        <v>276</v>
      </c>
      <c r="C266" t="s">
        <v>491</v>
      </c>
      <c r="E266" t="s">
        <v>543</v>
      </c>
      <c r="F266" t="s">
        <v>224</v>
      </c>
      <c r="G266" t="s">
        <v>756</v>
      </c>
      <c r="H266" t="s">
        <v>1022</v>
      </c>
      <c r="I266" t="s">
        <v>1078</v>
      </c>
      <c r="J266" s="2">
        <v>0</v>
      </c>
      <c r="K266" t="s">
        <v>1436</v>
      </c>
      <c r="L266" t="str">
        <f t="shared" si="5"/>
        <v>265</v>
      </c>
      <c r="M266">
        <v>10</v>
      </c>
    </row>
    <row r="267" spans="1:15" x14ac:dyDescent="0.35">
      <c r="A267" t="s">
        <v>93</v>
      </c>
      <c r="B267" t="s">
        <v>276</v>
      </c>
      <c r="C267" t="s">
        <v>360</v>
      </c>
      <c r="E267" t="s">
        <v>543</v>
      </c>
      <c r="F267" t="s">
        <v>93</v>
      </c>
      <c r="G267" t="s">
        <v>626</v>
      </c>
      <c r="H267" t="s">
        <v>891</v>
      </c>
      <c r="I267" t="s">
        <v>1122</v>
      </c>
      <c r="J267" s="2">
        <v>3</v>
      </c>
      <c r="K267" t="s">
        <v>1305</v>
      </c>
      <c r="L267" t="str">
        <f t="shared" si="5"/>
        <v>266</v>
      </c>
      <c r="M267">
        <v>10</v>
      </c>
    </row>
  </sheetData>
  <sortState xmlns:xlrd2="http://schemas.microsoft.com/office/spreadsheetml/2017/richdata2" ref="A2:K267">
    <sortCondition ref="A2:A267"/>
  </sortState>
  <conditionalFormatting sqref="S3:T4">
    <cfRule type="colorScale" priority="1">
      <colorScale>
        <cfvo type="min"/>
        <cfvo type="percentile" val="50"/>
        <cfvo type="max"/>
        <color rgb="FFF8696B"/>
        <color rgb="FFFCFCFF"/>
        <color rgb="FF5A8AC6"/>
      </colorScale>
    </cfRule>
  </conditionalFormatting>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Linoy Halifa</cp:lastModifiedBy>
  <dcterms:created xsi:type="dcterms:W3CDTF">2026-01-10T12:22:29Z</dcterms:created>
  <dcterms:modified xsi:type="dcterms:W3CDTF">2026-02-22T19:31:19Z</dcterms:modified>
</cp:coreProperties>
</file>