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Ezra\Desktop\Changed Files\Afeka\ComputerVision\"/>
    </mc:Choice>
  </mc:AlternateContent>
  <xr:revisionPtr revIDLastSave="0" documentId="13_ncr:1_{67843E97-46EE-4AE5-ABDF-DEF8C247A928}" xr6:coauthVersionLast="47" xr6:coauthVersionMax="47" xr10:uidLastSave="{00000000-0000-0000-0000-000000000000}"/>
  <bookViews>
    <workbookView xWindow="-23148" yWindow="-108" windowWidth="23256" windowHeight="12456" activeTab="4" xr2:uid="{00000000-000D-0000-FFFF-FFFF00000000}"/>
  </bookViews>
  <sheets>
    <sheet name="results-Mixed" sheetId="1" r:id="rId1"/>
    <sheet name="Text comparin" sheetId="8" r:id="rId2"/>
    <sheet name="results-blurred" sheetId="3" r:id="rId3"/>
    <sheet name="Analysis-compare" sheetId="4" r:id="rId4"/>
    <sheet name="statistics" sheetId="5" r:id="rId5"/>
    <sheet name="PerImageAggregated" sheetId="7" r:id="rId6"/>
  </sheets>
  <definedNames>
    <definedName name="_xlchart.v1.3" hidden="1">'Analysis-compare'!$U$116:$U$126</definedName>
    <definedName name="_xlchart.v1.4" hidden="1">'Analysis-compare'!$Z$115</definedName>
    <definedName name="_xlchart.v1.5" hidden="1">'Analysis-compare'!$Z$116:$Z$126</definedName>
    <definedName name="_xlchart.v5.0" hidden="1">'Analysis-compare'!$U$116:$U$126</definedName>
    <definedName name="_xlchart.v5.1" hidden="1">'Analysis-compare'!$Z$115</definedName>
    <definedName name="_xlchart.v5.2" hidden="1">'Analysis-compare'!$Z$116:$Z$126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17" i="4" l="1"/>
  <c r="U3" i="4"/>
  <c r="U4" i="4"/>
  <c r="U5" i="4"/>
  <c r="U6" i="4"/>
  <c r="U7" i="4"/>
  <c r="U8" i="4"/>
  <c r="U9" i="4"/>
  <c r="U10" i="4"/>
  <c r="U11" i="4"/>
  <c r="U12" i="4"/>
  <c r="U13" i="4"/>
  <c r="U14" i="4"/>
  <c r="U15" i="4"/>
  <c r="U16" i="4"/>
  <c r="U17" i="4"/>
  <c r="U18" i="4"/>
  <c r="U19" i="4"/>
  <c r="U20" i="4"/>
  <c r="U21" i="4"/>
  <c r="U22" i="4"/>
  <c r="U23" i="4"/>
  <c r="U24" i="4"/>
  <c r="U25" i="4"/>
  <c r="U26" i="4"/>
  <c r="U27" i="4"/>
  <c r="U28" i="4"/>
  <c r="U29" i="4"/>
  <c r="U30" i="4"/>
  <c r="U31" i="4"/>
  <c r="U32" i="4"/>
  <c r="U33" i="4"/>
  <c r="U34" i="4"/>
  <c r="U35" i="4"/>
  <c r="U36" i="4"/>
  <c r="U37" i="4"/>
  <c r="U38" i="4"/>
  <c r="U39" i="4"/>
  <c r="U40" i="4"/>
  <c r="U41" i="4"/>
  <c r="U42" i="4"/>
  <c r="U43" i="4"/>
  <c r="U44" i="4"/>
  <c r="U45" i="4"/>
  <c r="U46" i="4"/>
  <c r="U47" i="4"/>
  <c r="U48" i="4"/>
  <c r="U49" i="4"/>
  <c r="U50" i="4"/>
  <c r="U51" i="4"/>
  <c r="U52" i="4"/>
  <c r="U53" i="4"/>
  <c r="U54" i="4"/>
  <c r="U55" i="4"/>
  <c r="U56" i="4"/>
  <c r="U57" i="4"/>
  <c r="U58" i="4"/>
  <c r="U59" i="4"/>
  <c r="U60" i="4"/>
  <c r="U61" i="4"/>
  <c r="U62" i="4"/>
  <c r="U63" i="4"/>
  <c r="U64" i="4"/>
  <c r="U65" i="4"/>
  <c r="U66" i="4"/>
  <c r="U67" i="4"/>
  <c r="U68" i="4"/>
  <c r="U69" i="4"/>
  <c r="U70" i="4"/>
  <c r="U71" i="4"/>
  <c r="U72" i="4"/>
  <c r="U73" i="4"/>
  <c r="U74" i="4"/>
  <c r="U75" i="4"/>
  <c r="U76" i="4"/>
  <c r="U77" i="4"/>
  <c r="U78" i="4"/>
  <c r="U79" i="4"/>
  <c r="U80" i="4"/>
  <c r="U81" i="4"/>
  <c r="U82" i="4"/>
  <c r="U83" i="4"/>
  <c r="U84" i="4"/>
  <c r="U85" i="4"/>
  <c r="U86" i="4"/>
  <c r="U87" i="4"/>
  <c r="U88" i="4"/>
  <c r="U89" i="4"/>
  <c r="U90" i="4"/>
  <c r="U91" i="4"/>
  <c r="U92" i="4"/>
  <c r="U93" i="4"/>
  <c r="U94" i="4"/>
  <c r="U95" i="4"/>
  <c r="U96" i="4"/>
  <c r="U97" i="4"/>
  <c r="U98" i="4"/>
  <c r="U99" i="4"/>
  <c r="U100" i="4"/>
  <c r="U101" i="4"/>
  <c r="U102" i="4"/>
  <c r="U103" i="4"/>
  <c r="U104" i="4"/>
  <c r="U105" i="4"/>
  <c r="U106" i="4"/>
  <c r="U107" i="4"/>
  <c r="U108" i="4"/>
  <c r="U109" i="4"/>
  <c r="U110" i="4"/>
  <c r="U111" i="4"/>
  <c r="U112" i="4"/>
  <c r="U2" i="4"/>
  <c r="S6" i="4"/>
  <c r="T6" i="4" s="1"/>
  <c r="S7" i="4"/>
  <c r="T7" i="4" s="1"/>
  <c r="S8" i="4"/>
  <c r="T8" i="4" s="1"/>
  <c r="S9" i="4"/>
  <c r="T9" i="4" s="1"/>
  <c r="S10" i="4"/>
  <c r="T10" i="4" s="1"/>
  <c r="S11" i="4"/>
  <c r="T11" i="4" s="1"/>
  <c r="S12" i="4"/>
  <c r="T12" i="4" s="1"/>
  <c r="S13" i="4"/>
  <c r="T13" i="4" s="1"/>
  <c r="S14" i="4"/>
  <c r="T14" i="4" s="1"/>
  <c r="S15" i="4"/>
  <c r="T15" i="4" s="1"/>
  <c r="S16" i="4"/>
  <c r="T16" i="4" s="1"/>
  <c r="S17" i="4"/>
  <c r="T17" i="4" s="1"/>
  <c r="S18" i="4"/>
  <c r="T18" i="4" s="1"/>
  <c r="S19" i="4"/>
  <c r="T19" i="4" s="1"/>
  <c r="S20" i="4"/>
  <c r="T20" i="4" s="1"/>
  <c r="S21" i="4"/>
  <c r="T21" i="4" s="1"/>
  <c r="S22" i="4"/>
  <c r="T22" i="4" s="1"/>
  <c r="S23" i="4"/>
  <c r="T23" i="4" s="1"/>
  <c r="S24" i="4"/>
  <c r="T24" i="4" s="1"/>
  <c r="S25" i="4"/>
  <c r="T25" i="4" s="1"/>
  <c r="S26" i="4"/>
  <c r="T26" i="4" s="1"/>
  <c r="S27" i="4"/>
  <c r="T27" i="4" s="1"/>
  <c r="S28" i="4"/>
  <c r="T28" i="4" s="1"/>
  <c r="S29" i="4"/>
  <c r="T29" i="4" s="1"/>
  <c r="S30" i="4"/>
  <c r="T30" i="4" s="1"/>
  <c r="S31" i="4"/>
  <c r="T31" i="4" s="1"/>
  <c r="S32" i="4"/>
  <c r="T32" i="4" s="1"/>
  <c r="S33" i="4"/>
  <c r="T33" i="4" s="1"/>
  <c r="S34" i="4"/>
  <c r="T34" i="4" s="1"/>
  <c r="S35" i="4"/>
  <c r="T35" i="4" s="1"/>
  <c r="S36" i="4"/>
  <c r="T36" i="4" s="1"/>
  <c r="S37" i="4"/>
  <c r="T37" i="4" s="1"/>
  <c r="S38" i="4"/>
  <c r="T38" i="4" s="1"/>
  <c r="S39" i="4"/>
  <c r="T39" i="4" s="1"/>
  <c r="S40" i="4"/>
  <c r="T40" i="4" s="1"/>
  <c r="S41" i="4"/>
  <c r="T41" i="4" s="1"/>
  <c r="S42" i="4"/>
  <c r="T42" i="4" s="1"/>
  <c r="S43" i="4"/>
  <c r="T43" i="4" s="1"/>
  <c r="S44" i="4"/>
  <c r="T44" i="4" s="1"/>
  <c r="S45" i="4"/>
  <c r="T45" i="4" s="1"/>
  <c r="S46" i="4"/>
  <c r="T46" i="4" s="1"/>
  <c r="S47" i="4"/>
  <c r="T47" i="4" s="1"/>
  <c r="S48" i="4"/>
  <c r="T48" i="4" s="1"/>
  <c r="S49" i="4"/>
  <c r="T49" i="4" s="1"/>
  <c r="S50" i="4"/>
  <c r="T50" i="4" s="1"/>
  <c r="S51" i="4"/>
  <c r="T51" i="4" s="1"/>
  <c r="S52" i="4"/>
  <c r="T52" i="4" s="1"/>
  <c r="S53" i="4"/>
  <c r="T53" i="4" s="1"/>
  <c r="S54" i="4"/>
  <c r="T54" i="4" s="1"/>
  <c r="S55" i="4"/>
  <c r="T55" i="4" s="1"/>
  <c r="S56" i="4"/>
  <c r="T56" i="4" s="1"/>
  <c r="S57" i="4"/>
  <c r="T57" i="4" s="1"/>
  <c r="S58" i="4"/>
  <c r="T58" i="4" s="1"/>
  <c r="S59" i="4"/>
  <c r="T59" i="4" s="1"/>
  <c r="S60" i="4"/>
  <c r="T60" i="4" s="1"/>
  <c r="S61" i="4"/>
  <c r="T61" i="4" s="1"/>
  <c r="S62" i="4"/>
  <c r="T62" i="4" s="1"/>
  <c r="S63" i="4"/>
  <c r="T63" i="4" s="1"/>
  <c r="S64" i="4"/>
  <c r="T64" i="4" s="1"/>
  <c r="S65" i="4"/>
  <c r="T65" i="4" s="1"/>
  <c r="S66" i="4"/>
  <c r="T66" i="4" s="1"/>
  <c r="S67" i="4"/>
  <c r="T67" i="4" s="1"/>
  <c r="S68" i="4"/>
  <c r="T68" i="4" s="1"/>
  <c r="S69" i="4"/>
  <c r="T69" i="4" s="1"/>
  <c r="S70" i="4"/>
  <c r="T70" i="4" s="1"/>
  <c r="S71" i="4"/>
  <c r="T71" i="4" s="1"/>
  <c r="S72" i="4"/>
  <c r="T72" i="4" s="1"/>
  <c r="S73" i="4"/>
  <c r="T73" i="4" s="1"/>
  <c r="S74" i="4"/>
  <c r="T74" i="4" s="1"/>
  <c r="S75" i="4"/>
  <c r="T75" i="4" s="1"/>
  <c r="S76" i="4"/>
  <c r="T76" i="4" s="1"/>
  <c r="S77" i="4"/>
  <c r="T77" i="4" s="1"/>
  <c r="S78" i="4"/>
  <c r="T78" i="4" s="1"/>
  <c r="S79" i="4"/>
  <c r="T79" i="4" s="1"/>
  <c r="S80" i="4"/>
  <c r="T80" i="4" s="1"/>
  <c r="S81" i="4"/>
  <c r="T81" i="4" s="1"/>
  <c r="S82" i="4"/>
  <c r="T82" i="4" s="1"/>
  <c r="S83" i="4"/>
  <c r="T83" i="4" s="1"/>
  <c r="S84" i="4"/>
  <c r="T84" i="4" s="1"/>
  <c r="S85" i="4"/>
  <c r="T85" i="4" s="1"/>
  <c r="S86" i="4"/>
  <c r="T86" i="4" s="1"/>
  <c r="S87" i="4"/>
  <c r="T87" i="4" s="1"/>
  <c r="S88" i="4"/>
  <c r="T88" i="4" s="1"/>
  <c r="S89" i="4"/>
  <c r="T89" i="4" s="1"/>
  <c r="S90" i="4"/>
  <c r="T90" i="4" s="1"/>
  <c r="S91" i="4"/>
  <c r="T91" i="4" s="1"/>
  <c r="S92" i="4"/>
  <c r="T92" i="4" s="1"/>
  <c r="S93" i="4"/>
  <c r="T93" i="4" s="1"/>
  <c r="S94" i="4"/>
  <c r="T94" i="4" s="1"/>
  <c r="S95" i="4"/>
  <c r="T95" i="4" s="1"/>
  <c r="S96" i="4"/>
  <c r="T96" i="4" s="1"/>
  <c r="S97" i="4"/>
  <c r="T97" i="4" s="1"/>
  <c r="S98" i="4"/>
  <c r="T98" i="4" s="1"/>
  <c r="S99" i="4"/>
  <c r="T99" i="4" s="1"/>
  <c r="S100" i="4"/>
  <c r="T100" i="4" s="1"/>
  <c r="S101" i="4"/>
  <c r="T101" i="4" s="1"/>
  <c r="S102" i="4"/>
  <c r="T102" i="4" s="1"/>
  <c r="S103" i="4"/>
  <c r="T103" i="4" s="1"/>
  <c r="S104" i="4"/>
  <c r="T104" i="4" s="1"/>
  <c r="S105" i="4"/>
  <c r="T105" i="4" s="1"/>
  <c r="S106" i="4"/>
  <c r="T106" i="4" s="1"/>
  <c r="S107" i="4"/>
  <c r="T107" i="4" s="1"/>
  <c r="S108" i="4"/>
  <c r="T108" i="4" s="1"/>
  <c r="S109" i="4"/>
  <c r="T109" i="4" s="1"/>
  <c r="S110" i="4"/>
  <c r="T110" i="4" s="1"/>
  <c r="S111" i="4"/>
  <c r="T111" i="4" s="1"/>
  <c r="S112" i="4"/>
  <c r="T112" i="4" s="1"/>
  <c r="S3" i="4"/>
  <c r="T3" i="4" s="1"/>
  <c r="S4" i="4"/>
  <c r="T4" i="4" s="1"/>
  <c r="S5" i="4"/>
  <c r="T5" i="4" s="1"/>
  <c r="S2" i="4"/>
  <c r="T114" i="4"/>
  <c r="V118" i="4"/>
  <c r="W118" i="4" s="1"/>
  <c r="X118" i="4"/>
  <c r="Y118" i="4" s="1"/>
  <c r="V119" i="4"/>
  <c r="W119" i="4" s="1"/>
  <c r="X119" i="4"/>
  <c r="Y119" i="4" s="1"/>
  <c r="V120" i="4"/>
  <c r="W120" i="4" s="1"/>
  <c r="X120" i="4"/>
  <c r="Y120" i="4" s="1"/>
  <c r="V121" i="4"/>
  <c r="W121" i="4" s="1"/>
  <c r="X121" i="4"/>
  <c r="Y121" i="4" s="1"/>
  <c r="V122" i="4"/>
  <c r="W122" i="4" s="1"/>
  <c r="X122" i="4"/>
  <c r="Y122" i="4" s="1"/>
  <c r="V123" i="4"/>
  <c r="W123" i="4" s="1"/>
  <c r="X123" i="4"/>
  <c r="Y123" i="4" s="1"/>
  <c r="V124" i="4"/>
  <c r="W124" i="4" s="1"/>
  <c r="X124" i="4"/>
  <c r="Y124" i="4" s="1"/>
  <c r="V125" i="4"/>
  <c r="W125" i="4" s="1"/>
  <c r="X125" i="4"/>
  <c r="Y125" i="4" s="1"/>
  <c r="V126" i="4"/>
  <c r="W126" i="4" s="1"/>
  <c r="X126" i="4"/>
  <c r="Y126" i="4" s="1"/>
  <c r="X116" i="4"/>
  <c r="Y116" i="4" s="1"/>
  <c r="V116" i="4"/>
  <c r="W116" i="4" s="1"/>
  <c r="V117" i="4"/>
  <c r="W117" i="4" s="1"/>
  <c r="X117" i="4"/>
  <c r="Y117" i="4" s="1"/>
  <c r="Z117" i="4" s="1"/>
  <c r="Q114" i="4"/>
  <c r="R116" i="4"/>
  <c r="Q116" i="4"/>
  <c r="S116" i="4" s="1"/>
  <c r="R115" i="4"/>
  <c r="Q115" i="4"/>
  <c r="S115" i="4" s="1"/>
  <c r="R114"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G2" i="4"/>
  <c r="C2" i="4"/>
  <c r="Z119" i="4" l="1"/>
  <c r="Z126" i="4"/>
  <c r="Z123" i="4"/>
  <c r="Z118" i="4"/>
  <c r="Z121" i="4"/>
  <c r="Z116" i="4"/>
  <c r="Z122" i="4"/>
  <c r="Z120" i="4"/>
  <c r="Z124" i="4"/>
  <c r="Z125" i="4"/>
  <c r="T2" i="4"/>
  <c r="S114" i="4"/>
  <c r="N16" i="4"/>
  <c r="N22" i="4"/>
  <c r="N25" i="4"/>
  <c r="N31" i="4"/>
  <c r="N36" i="4"/>
  <c r="N41" i="4"/>
  <c r="N45" i="4"/>
  <c r="N51" i="4"/>
  <c r="N56" i="4"/>
  <c r="N61" i="4"/>
  <c r="N66" i="4"/>
  <c r="N72" i="4"/>
  <c r="N78" i="4"/>
  <c r="N83" i="4"/>
  <c r="N88" i="4"/>
  <c r="N93" i="4"/>
  <c r="N99" i="4"/>
  <c r="N105" i="4"/>
  <c r="N112" i="4"/>
  <c r="N4" i="4"/>
  <c r="N11" i="4"/>
  <c r="N15" i="4"/>
  <c r="N19" i="4"/>
  <c r="N23" i="4"/>
  <c r="N27" i="4"/>
  <c r="N32" i="4"/>
  <c r="N38" i="4"/>
  <c r="N44" i="4"/>
  <c r="N49" i="4"/>
  <c r="N53" i="4"/>
  <c r="N58" i="4"/>
  <c r="N62" i="4"/>
  <c r="N65" i="4"/>
  <c r="N71" i="4"/>
  <c r="N75" i="4"/>
  <c r="N80" i="4"/>
  <c r="N86" i="4"/>
  <c r="N90" i="4"/>
  <c r="N95" i="4"/>
  <c r="N101" i="4"/>
  <c r="N107" i="4"/>
  <c r="N2" i="4"/>
  <c r="N8" i="4"/>
  <c r="N21" i="4"/>
  <c r="N26" i="4"/>
  <c r="N29" i="4"/>
  <c r="N34" i="4"/>
  <c r="N39" i="4"/>
  <c r="N43" i="4"/>
  <c r="N46" i="4"/>
  <c r="N50" i="4"/>
  <c r="N55" i="4"/>
  <c r="N67" i="4"/>
  <c r="N76" i="4"/>
  <c r="N81" i="4"/>
  <c r="N96" i="4"/>
  <c r="N104" i="4"/>
  <c r="N111" i="4"/>
  <c r="N14" i="4"/>
  <c r="N5" i="4"/>
  <c r="N9" i="4"/>
  <c r="N7" i="4"/>
  <c r="N3" i="4"/>
  <c r="N10" i="4"/>
  <c r="N13" i="4"/>
  <c r="N17" i="4"/>
  <c r="N20" i="4"/>
  <c r="N24" i="4"/>
  <c r="N28" i="4"/>
  <c r="N33" i="4"/>
  <c r="N37" i="4"/>
  <c r="N42" i="4"/>
  <c r="N48" i="4"/>
  <c r="N52" i="4"/>
  <c r="N57" i="4"/>
  <c r="N60" i="4"/>
  <c r="N64" i="4"/>
  <c r="N70" i="4"/>
  <c r="N74" i="4"/>
  <c r="N79" i="4"/>
  <c r="N85" i="4"/>
  <c r="N89" i="4"/>
  <c r="N94" i="4"/>
  <c r="N100" i="4"/>
  <c r="N106" i="4"/>
  <c r="N12" i="4"/>
  <c r="N6" i="4"/>
  <c r="N47" i="4"/>
  <c r="N54" i="4"/>
  <c r="N59" i="4"/>
  <c r="N63" i="4"/>
  <c r="N68" i="4"/>
  <c r="N73" i="4"/>
  <c r="N77" i="4"/>
  <c r="N82" i="4"/>
  <c r="N87" i="4"/>
  <c r="N92" i="4"/>
  <c r="N98" i="4"/>
  <c r="N103" i="4"/>
  <c r="N108" i="4"/>
  <c r="N18" i="4"/>
  <c r="N30" i="4"/>
  <c r="N35" i="4"/>
  <c r="N40" i="4"/>
  <c r="N110" i="4"/>
  <c r="N69" i="4"/>
  <c r="N84" i="4"/>
  <c r="N91" i="4"/>
  <c r="N97" i="4"/>
  <c r="N102" i="4"/>
  <c r="N109" i="4"/>
</calcChain>
</file>

<file path=xl/sharedStrings.xml><?xml version="1.0" encoding="utf-8"?>
<sst xmlns="http://schemas.openxmlformats.org/spreadsheetml/2006/main" count="3259" uniqueCount="2059">
  <si>
    <t>sample_id_unified</t>
  </si>
  <si>
    <t>result.scene_summary</t>
  </si>
  <si>
    <t>result.objects</t>
  </si>
  <si>
    <t>result.anomalies</t>
  </si>
  <si>
    <t>result.overall_risk_score_1_to_10</t>
  </si>
  <si>
    <t>result.notes</t>
  </si>
  <si>
    <t>Mixed/0107.jpg</t>
  </si>
  <si>
    <t>Mixed</t>
  </si>
  <si>
    <t>Flooded urban street where a man pushes a cycle rickshaw with a passenger through deep water alongside a submerged roadway.</t>
  </si>
  <si>
    <t>[{"id": "obj_1", "class": "pedestrian", "description": "Man in front pushing the cycle rickshaw, wading through floodwater up to his knees", "position": "right-center foreground in the flooded street near the curb", "orientation": "facing toward the camera, moving slightly from background to foreground"}, {"id": "obj_2", "class": "pedestrian", "description": "Seated passenger in the rickshaw holding a phone, partially sheltered by canopy", "position": "right-center midground seated on the rickshaw seat", "orientation": "facing forward, looking slightly toward the left while using phone"}, {"id": "obj_3", "class": "cycle_rickshaw", "description": "Three-wheeled cycle rickshaw with canopy being pushed through floodwater", "position": "right-center of the flooded street near the curb", "orientation": "aligned roughly along the street direction, front wheel toward foreground-left"}, {"id": "obj_4", "class": "roadway", "description": "Urban street heavily inundated with water, only curb and edge visible on right", "position": "covers most of the lower and central part of the scene", "orientation": "extends from foreground to background along image depth"}, {"id": "obj_5", "class": "buildings", "description": "Row of low-rise commercial or mixed-use buildings along the flooded street", "position": "background on both left and right sides bordering the street", "orientation": "front facades facing the flooded street"}, {"id": "obj_6", "class": "traffic_sign", "description": "Partially submerged road sign on left side of flooded street", "position": "left midground near shops and vegetation", "orientation": "signpost vertical, sign facing oncoming traffic direction"}]</t>
  </si>
  <si>
    <t>[{"id": "anom_1", "related_objects": ["obj_1", "obj_2", "obj_3", "obj_4"], "type": "urban_flooding", "description": "Severe flooding on an urban street with water deep enough to submerge vehicle wheels and reach pedestrians’ knees.", "risk_score_1_to_10": 8, "risk_target": ["pedestrians", "drivers", "cyclists", "general_civilians"], "region": {"x_center_norm": 0.5, "y_center_norm": 0.65, "width_norm": 1.0, "height_norm": 0.7}, "reasoning": "The roadway is almost completely underwater with only the curb visible, indicating drainage failure or flood event. Such depth can hide open manholes, debris, or uneven surfaces and can cause vehicles or rickshaws to stall or overturn. Pedestrians wading in the water face risks of slipping, falling, infection, or being struck by unseen moving vehicles."}, {"id": "anom_2", "related_objects": ["obj_1", "obj_3"], "type": "pedestrian_in_deep_water_with_vehicle", "description": "Man pushing a cycle rickshaw while wading through knee-deep floodwater in the active street area.", "risk_score_1_to_10": 7, "risk_target": ["pedestrians", "cyclists"], "region": {"x_center_norm": 0.63, "y_center_norm": 0.63, "width_norm": 0.35, "height_norm": 0.55}, "reasoning": "Balancing and steering a loaded rickshaw in deep water is unstable, and the person is unable to see ground hazards. If he trips, both he and the passenger could fall into contaminated water or into a hidden hole. The rickshaw might also be impacted by passing vehicles or currents not visible in the still image."}]</t>
  </si>
  <si>
    <t>Geographic context is likely a South or Southeast Asian urban area (medium confidence) inferred from the cycle rickshaw, building styles, and street environment. The black-and-white photo does not reduce the clear evidence of extensive street flooding and associated safety risks.</t>
  </si>
  <si>
    <t>Mixed/0064.jpg</t>
  </si>
  <si>
    <t>Several wild bison walking along a snow-covered road or track in a cold, rural environment.</t>
  </si>
  <si>
    <t>[{"id": "obj_1", "class": "bison", "description": "Large bison in the foreground walking toward the camera along the center of the snowy road", "position": "center foreground on roadway", "orientation": "facing directly toward viewer"}, {"id": "obj_2", "class": "bison", "description": "Bison further back slightly left of center, following the leading animal", "position": "left mid-background on roadway", "orientation": "walking forward toward viewer"}, {"id": "obj_3", "class": "bison", "description": "Another bison in the distant center background", "position": "center background on roadway", "orientation": "walking forward toward viewer"}, {"id": "obj_4", "class": "bison", "description": "Partially visible bison further left in the background", "position": "far left background on roadway edge", "orientation": "walking forward toward viewer"}, {"id": "obj_5", "class": "road", "description": "Snow-covered road or packed track extending into the distance with tire-like tracks", "position": "occupies lower and middle parts of the scene", "orientation": "aligned front-to-back in the image"}]</t>
  </si>
  <si>
    <t>[{"id": "anom_1", "related_objects": ["obj_1", "obj_2", "obj_3", "obj_4", "obj_5"], "type": "large_wild_animals_on_roadway", "description": "Multiple large bison are occupying and walking along the center of a snow-covered road, which would pose a serious hazard to any approaching vehicles or nearby pedestrians.", "risk_score_1_to_10": 7, "risk_target": ["drivers", "pedestrians", "cyclists"], "region": {"x_center_norm": 0.5, "y_center_norm": 0.6, "width_norm": 0.9, "height_norm": 0.7}, "reasoning": "In a likely North American, rural, cold-climate setting (medium-confidence, similar to national parks), bison on roads are relatively common but still present high collision and injury risk. Their large mass, unpredictability, and the snowy, potentially slippery road increase stopping distances and reduce maneuverability for vehicles, and close proximity would be dangerous for unprotected humans."}]</t>
  </si>
  <si>
    <t>Geolocation confidence is medium: bison and snowy forested road suggest a North American national park or similar protected area. Risk is assessed assuming the road is or can be used by vehicles or visitors, even though none are visible.</t>
  </si>
  <si>
    <t>Mixed/0037.jpg</t>
  </si>
  <si>
    <t>Empty asphalt parking lot surface with white stall lines and noticeable pavement cracks.</t>
  </si>
  <si>
    <t>[{"id": "obj_1", "class": "paved_surface", "description": "Asphalt parking lot surface covering the visible frame", "position": "entire scene", "orientation": "flat horizontal ground plane"}, {"id": "obj_2", "class": "parking_line", "description": "White painted parallel parking stall lines running vertically in the image", "position": "multiple lines across the scene", "orientation": "approximately vertical relative to image frame"}, {"id": "obj_3", "class": "pavement_crack", "description": "Long, irregular crack running roughly horizontally near the middle of the image", "position": "center region, crossing several parking spaces", "orientation": "mostly horizontal with slight curvature"}, {"id": "obj_4", "class": "pavement_crack", "description": "Vertical, jagged crack aligned roughly with a parking line on the right side", "position": "right side, extending from mid-height downwards", "orientation": "approximately vertical with irregular edges"}]</t>
  </si>
  <si>
    <t>[{"id": "anom_1", "related_objects": ["obj_3", "obj_4"], "type": "damaged_pavement", "description": "Significant cracking in the parking lot asphalt that could worsen over time and pose minor trip or surface irregularity risks.", "risk_score_1_to_10": 3, "risk_target": ["pedestrians", "drivers"], "region": {"x_center_norm": 0.62, "y_center_norm": 0.55, "width_norm": 0.55, "height_norm": 0.5}, "reasoning": "The visible cracks are relatively narrow but long and cross walking and vehicle paths. For pedestrians, especially those with mobility issues, they could be a mild trip hazard. For vehicles, they represent early-stage surface degradation rather than immediate structural danger. No large holes or severe heaving are visible, so risk is mild rather than high."}]</t>
  </si>
  <si>
    <t>Geolocation confidence is low; standard-looking parking lot pavement and markings suggest a generic urban or suburban area in a temperate region. The scene is otherwise empty with no traffic or people present, so immediate risk is limited.</t>
  </si>
  <si>
    <t>Mixed/0077.png</t>
  </si>
  <si>
    <t>Crowded urban beachfront with many swimmers and beachgoers along a developed coastline with hotels and palm trees.</t>
  </si>
  <si>
    <t>[{"id": "obj_1", "class": "beach", "description": "Wide sandy beach running from bottom center toward upper left along the shoreline", "position": "occupies lower and mid-right of image alongside waterline", "orientation": "aligned diagonally from foreground right to background left"}, {"id": "obj_2", "class": "sea", "description": "Open water with small waves and many people swimming or wading", "position": "right half of image from mid-height to top", "orientation": "shoreline diagonal parallel to beach"}, {"id": "obj_3", "class": "buildings", "description": "Multi‑story hotels/apartment blocks near the coast", "position": "left side and top-left of image close to shoreline", "orientation": "facing the sea"}, {"id": "obj_4", "class": "pedestrians", "description": "Dense crowd of people walking along the promenade and on the beach", "position": "concentrated along the strip between buildings and water from lower left to mid-left", "orientation": "varied orientations along promenade and beach"}, {"id": "obj_5", "class": "swimmers", "description": "People dispersed in shallow and slightly deeper water near shore", "position": "in the water parallel to shoreline across mid-right of image", "orientation": "facing shore and alongshore, various directions"}, {"id": "obj_6", "class": "palm_trees", "description": "Rows of tall palm trees between buildings and beach and scattered on sand", "position": "lower half of image forming green belt and on beach", "orientation": "upright vertical"}, {"id": "obj_7", "class": "sunbeds_umbrellas", "description": "Organized rows of sun loungers and parasols on the sand", "position": "mainly lower-right to mid-right on the beach", "orientation": "aligned roughly parallel to shoreline"}, {"id": "obj_8", "class": "promenade", "description": "Paved walkway running along beach edge near buildings and trees", "position": "between buildings and sand from lower center toward upper left", "orientation": "diagonal following coastline"}]</t>
  </si>
  <si>
    <t>[]</t>
  </si>
  <si>
    <t>Step 1 – Likely a Mediterranean or similar warm coastal city given palm-lined promenade, hotel blocks, and crowded beach; confidence medium. Scene appears to show normal high-season recreational beach use with many people both on sand and in water but no visible signs of riptides, overcrowding beyond typical norms, or emergency events. From this aerial perspective, no specific safety anomaly can be clearly identified.</t>
  </si>
  <si>
    <t>Mixed/0057.png</t>
  </si>
  <si>
    <t>Urban sidewalk with a woman walking toward the camera between parked cars and a wall with vegetation.</t>
  </si>
  <si>
    <t>[{"id": "obj_1", "class": "pedestrian", "description": "Adult woman walking toward the camera on the sidewalk carrying a plastic bag in her right hand", "position": "left-front side of the sidewalk, moving toward the bottom of the frame", "orientation": "facing toward the camera"}, {"id": "obj_2", "class": "car", "description": "Parked car closest to the camera on the left edge of the sidewalk", "position": "left side of the image, partially intruding into pedestrian space", "orientation": "parked parallel to the sidewalk facing away from the camera"}, {"id": "obj_3", "class": "car", "description": "Multiple additional cars parked in a line along the street beside the sidewalk", "position": "left mid-to-background along the street", "orientation": "parallel to the sidewalk"}, {"id": "obj_4", "class": "wall", "description": "Tall wall lining the right side of the sidewalk with dense green vegetation growing over it", "position": "right side of the scene, extending from foreground to background", "orientation": "parallel to sidewalk"}, {"id": "obj_5", "class": "sidewalk", "description": "Brick-paved pedestrian walkway running down the center of the frame", "position": "central foreground extending to the background", "orientation": "aligned with camera view direction"}]</t>
  </si>
  <si>
    <t>Step 1 – Likely a Mediterranean urban area, possibly Israel, inferred from the license plate color/format, vegetation, and architecture; confidence medium. Step 2 – Sidewalk in a mixed urban residential/commercial setting. Step 3 – The pedestrian has clear space to walk, and there are no visible obstructions, vehicles in motion, or immediate hazards like tripping obstacles or exposed infrastructure. No specific anomalies or abnormal risks are apparent in this single frame.</t>
  </si>
  <si>
    <t>Mixed/0008.png</t>
  </si>
  <si>
    <t>Urban sidewalk with discarded large cardboard items leaning against a wall beside a street with cars.</t>
  </si>
  <si>
    <t>[{"id": "obj_1", "class": "sidewalk", "description": "Paved brick sidewalk running from bottom foreground toward the middle of the image along the street edge", "position": "foreground and midground center", "orientation": "aligned parallel to street"}, {"id": "obj_2", "class": "cardboard_box", "description": "Tall standing cardboard box placed on the sidewalk near a stone wall and bushes", "position": "right side of sidewalk, mid-right of image", "orientation": "upright, flat face toward camera"}, {"id": "obj_3", "class": "bulky_waste", "description": "Large flat piece of cardboard or panel leaning against the wall behind the standing box", "position": "right side of sidewalk, mid-right of image behind obj_2", "orientation": "leaning diagonally against wall"}, {"id": "obj_4", "class": "bushes", "description": "Dense green bushes overhanging part of the sidewalk from the right side", "position": "right edge of image", "orientation": "overhanging sidewalk"}, {"id": "obj_5", "class": "wall", "description": "Low stone wall bordering the sidewalk on the right beneath the bushes", "position": "right side of image", "orientation": "parallel to sidewalk"}, {"id": "obj_6", "class": "car", "description": "White car stopped or moving slowly on adjacent street", "position": "upper left of image on the roadway", "orientation": "facing left"}, {"id": "obj_7", "class": "car", "description": "Silver/white SUV on the street near the intersection", "position": "upper center of image on the roadway", "orientation": "angled slightly toward camera"}, {"id": "obj_8", "class": "traffic_pole", "description": "Black-and-white striped pole at corner of sidewalk and street", "position": "left-center near curb", "orientation": "vertical"}, {"id": "obj_9", "class": "manhole_cover", "description": "Round manhole cover embedded in sidewalk near curb", "position": "left side of sidewalk, mid-left of image", "orientation": "horizontal in pavement"}]</t>
  </si>
  <si>
    <t>[{"id": "anom_1", "related_objects": ["obj_2", "obj_3", "obj_4"], "type": "sidewalk_obstruction", "description": "Large discarded cardboard box and panel, combined with overhanging bushes, significantly narrow the usable sidewalk width.", "risk_score_1_to_10": 5, "risk_target": ["pedestrians"], "region": {"x_center_norm": 0.77, "y_center_norm": 0.55, "width_norm": 0.35, "height_norm": 0.7}, "reasoning": "On an urban sidewalk, pedestrians are expected to have a clear walking path. The bulky cardboard items placed against the wall occupy a meaningful portion of the walkway, and the bushes further encroach from above/right. This can force pedestrians, strollers, or wheelchair users to detour closer to the curb or into the street, increasing trip and collision risk, especially in low light."}]</t>
  </si>
  <si>
    <t>Geolocation low-confidence; generic urban setting inferred from brick sidewalk, vehicles, and vegetation. No immediate vehicle conflict is visible, but pedestrian path obstruction presents a moderate safety concern.</t>
  </si>
  <si>
    <t>Mixed/0040.jpg</t>
  </si>
  <si>
    <t>Close-up of a rain-filled pothole in an asphalt road surface.</t>
  </si>
  <si>
    <t>[{"id": "obj_1", "class": "road_surface", "description": "Worn asphalt pavement covering the scene", "position": "entire frame", "orientation": "horizontal plane"}, {"id": "obj_2", "class": "pothole", "description": "Irregularly shaped pothole filled with water in the center of the road surface", "position": "center of frame", "orientation": "depression in road surface"}, {"id": "obj_3", "class": "standing_water", "description": "Water accumulated inside the pothole, obscuring its depth", "position": "center of frame within pothole", "orientation": "horizontal water surface"}]</t>
  </si>
  <si>
    <t>[{"id": "anom_1", "related_objects": ["obj_2", "obj_3"], "type": "road_surface_damage", "description": "Significant pothole filled with water in the roadway, creating a hazard for vehicles, cyclists, and potentially pedestrians.", "risk_score_1_to_10": 6, "risk_target": ["drivers", "cyclists", "pedestrians"], "region": {"x_center_norm": 0.5, "y_center_norm": 0.55, "width_norm": 0.7, "height_norm": 0.6}, "reasoning": "The road surface shows a deep, irregular pothole that has accumulated water, which can hide its true depth. This can cause vehicle damage, loss of control for cyclists, or trips for pedestrians. The exact traffic speed and setting are unknown, so risk is assessed as moderate but not extreme."}]</t>
  </si>
  <si>
    <t>Geolocation low-confidence; generic paved road in a temperate, possibly urban or suburban environment after rain. Risk could be higher on high-speed roads or for two-wheeled vehicles.</t>
  </si>
  <si>
    <t>Mixed/0031.jpg</t>
  </si>
  <si>
    <t>Close-up of a rural/secondary asphalt road with extensive cracking and surface degradation near the edge, adjacent to a grassy shoulder.</t>
  </si>
  <si>
    <t>[{"id": "obj_1", "class": "roadway", "description": "Asphalt road surface occupying most of the frame, with visible yellow centerline faintly at upper right", "position": "central and right areas of the image, extending top to bottom", "orientation": "road runs roughly from bottom to top of frame"}, {"id": "obj_2", "class": "road_edge", "description": "Fraying and broken edge of asphalt adjacent to grass shoulder", "position": "left side of the road, from bottom left to top left", "orientation": "runs vertically along the left border between asphalt and grass"}, {"id": "obj_3", "class": "vegetation", "description": "Grass shoulder alongside the road", "position": "far left strip of the image", "orientation": "parallel to road edge"}, {"id": "obj_4", "class": "pavement_damage", "description": "Large area of alligator cracking and partial pothole developing in the roadway surface", "position": "center of the frame, extending from lower center toward upper center-right", "orientation": "elongated along the road direction"}]</t>
  </si>
  <si>
    <t>[{"id": "anom_1", "related_objects": ["obj_1", "obj_2", "obj_4"], "type": "severely_damaged_road_surface", "description": "The road surface shows extensive alligator cracking, loose aggregate, and a developing pothole near the wheel path close to the edge, indicating structural failure and uneven surface.", "risk_score_1_to_10": 6, "risk_target": ["drivers", "cyclists", "motorcyclists"], "region": {"x_center_norm": 0.55, "y_center_norm": 0.55, "width_norm": 0.6, "height_norm": 0.7}, "reasoning": "This level of cracking and surface breakup is abnormal for a safe driving surface. Vehicles, especially at speed, can lose traction or experience steering disturbances when hitting the uneven, loose, or sunken areas. Two-wheeled vehicles are at particular risk of loss of control, and cars can suffer tire or suspension damage. The damage is located near where a right lane wheel track would typically be, increasing exposure."}, {"id": "anom_2", "related_objects": ["obj_1", "obj_2"], "type": "deteriorated_road_edge", "description": "The edge of the asphalt is irregular and crumbling into the grass shoulder, reducing usable lane width and creating a drop-off risk at the edge.", "risk_score_1_to_10": 5, "risk_target": ["drivers", "cyclists", "motorcyclists"], "region": {"x_center_norm": 0.22, "y_center_norm": 0.5, "width_norm": 0.25, "height_norm": 0.9}, "reasoning": "A broken, soft road edge is an infrastructure anomaly where drivers or cyclists moving too close to the edge can have a wheel drop off, causing abrupt steering input or loss of control. This is particularly hazardous on narrow rural roads or when vehicles attempt to move over for oncoming traffic."}]</t>
  </si>
  <si>
    <t>Location context is low-confidence but consistent with a rural or secondary road, likely in a temperate region with freeze-thaw damage patterns. No traffic or pedestrians are present in the frame, so risk is potential rather than immediate.</t>
  </si>
  <si>
    <t>Mixed/0072.png</t>
  </si>
  <si>
    <t>Coastal urban beachfront with palm-lined promenade, rough sea conditions, and empty beach.</t>
  </si>
  <si>
    <t>[{"id": "obj_1", "class": "sea", "description": "Choppy ocean with visible whitecaps and breaking waves close to shore", "position": "right half and upper area of image, adjacent to shoreline", "orientation": "waves approaching roughly perpendicular to beach"}, {"id": "obj_2", "class": "beach", "description": "Wide sandy beach with no visible people, bordered by palm trees and promenade", "position": "center to lower-right of image between sea and promenade", "orientation": "runs roughly top-left to bottom-right"}, {"id": "obj_3", "class": "lifeguard_tower", "description": "Unoccupied lifeguard stands on the sand near the waterline", "position": "one at mid-left beach, another at mid-right beach", "orientation": "facing toward sea"}, {"id": "obj_4", "class": "promenade", "description": "Paved pedestrian promenade with palm trees and light poles along the beachfront", "position": "lower third of image parallel to the beach", "orientation": "extends from bottom-left toward mid-right"}, {"id": "obj_5", "class": "buildings", "description": "Multi-story residential or hotel buildings near the coastline", "position": "left side and upper-left background of image", "orientation": "facing toward sea"}, {"id": "obj_6", "class": "pier_or_breakwater", "description": "Narrow structure extending into the sea from the middle coastline, possibly a breakwater or pier", "position": "upper-center of image extending from shore into sea", "orientation": "projects rightward from land into water"}, {"id": "obj_7", "class": "vegetation", "description": "Palm trees and other greenery along promenade and around buildings", "position": "lower half of image mainly along promenade and near buildings", "orientation": "upright"}, {"id": "obj_8", "class": "light_poles", "description": "Tall light poles along beach and promenade", "position": "scattered along beach edge and walkway from lower-left toward upper-left and mid-right", "orientation": "vertical, aligned with promenade"}]</t>
  </si>
  <si>
    <t>[{"id": "anom_1", "related_objects": ["obj_1", "obj_2", "obj_3"], "type": "rough_sea_conditions", "description": "Rough sea with strong waves and surf very close to shore indicates potentially hazardous swimming conditions, though the beach appears empty.", "risk_score_1_to_10": 3, "risk_target": ["swimmers", "general_civilians"], "region": {"x_center_norm": 0.7, "y_center_norm": 0.37, "width_norm": 0.6, "height_norm": 0.55}, "reasoning": "The sea shows numerous whitecaps and powerful breakers near the shoreline, suggesting strong currents or winds. No swimmers are visible, reducing immediate risk, but such conditions would normally warrant caution or warnings for potential beachgoers."}]</t>
  </si>
  <si>
    <t>Geographic context is likely a Mediterranean or subtropical coastal city (medium-confidence) based on architecture, palm-lined promenade, and beach layout. No immediate human activity is seen on the beach or in the water, so current risk is potential rather than active.</t>
  </si>
  <si>
    <t>Mixed/0071.png</t>
  </si>
  <si>
    <t>Windy seaside urban beach with waves, promenade, sparse pedestrians, and nearby mid-rise buildings.</t>
  </si>
  <si>
    <t>[{"id": "obj_1", "class": "sea", "description": "Open choppy sea with visible whitecaps and waves approaching shore", "position": "right and upper-right side of image adjacent to beach", "orientation": "waves moving roughly toward shore"}, {"id": "obj_2", "class": "beach", "description": "Sandy beach stretching along the coastline parallel to the promenade", "position": "central horizontal band from left to right of image between sea and promenade", "orientation": "aligned along coastline"}, {"id": "obj_3", "class": "pedestrians", "description": "Small group of people walking on the sand near a lifeguard tower", "position": "mid-right section of beach near waterline", "orientation": "oriented roughly parallel to shoreline"}, {"id": "obj_4", "class": "lifeguard_tower", "description": "Wooden lifeguard lookout structure on the beach", "position": "right-middle of image on sand between promenade and water", "orientation": "facing toward sea"}, {"id": "obj_5", "class": "promenade", "description": "Paved walkway with palm trees and streetlights running parallel to the beach", "position": "lower central band of image between buildings/vegetation and beach", "orientation": "parallel to coastline"}, {"id": "obj_6", "class": "buildings", "description": "Cluster of low- to mid-rise residential or hotel buildings near the waterfront", "position": "left and upper-left areas of the image near the shoreline", "orientation": "facing toward sea"}, {"id": "obj_7", "class": "vegetation", "description": "Rows of palm trees and other greenery along the promenade and around buildings", "position": "lower half of image, especially center-left and bottom", "orientation": "upright along paths and roads"}, {"id": "obj_8", "class": "road", "description": "Narrow roadway or access lane adjacent to the promenade and buildings", "position": "lower-left to lower-center of image, partially obscured by trees", "orientation": "roughly parallel to the coastline"}]</t>
  </si>
  <si>
    <t>Step 1 – Likely a Mediterranean coastal city (e.g., Southern Europe) inferred from architecture, palm-lined promenade, and beach layout; confidence medium. No clear safety anomalies: few pedestrians on the sand, no swimmers visible despite moderate surf, no vehicles or infrastructure damage apparent. Conditions appear normal for a windy coastal day.</t>
  </si>
  <si>
    <t>Mixed/0100.png</t>
  </si>
  <si>
    <t>Urban street corner with a sidewalk, crosswalk, and a damaged area around a pole base near a parked car.</t>
  </si>
  <si>
    <t>[{"id": "obj_1", "class": "sidewalk", "description": "Paved pedestrian sidewalk in the foreground leading toward the street", "position": "foreground and lower half of image", "orientation": "horizontal across image"}, {"id": "obj_2", "class": "crosswalk", "description": "White painted zebra crosswalk connecting sidewalk to opposite side of street", "position": "left side of image near bottom", "orientation": "perpendicular to roadway"}, {"id": "obj_3", "class": "car", "description": "Gray sedan parked along curb facing right", "position": "right-center of image along street edge", "orientation": "parallel to curb, facing right"}, {"id": "obj_4", "class": "pole", "description": "Vertical metal pole (likely light or sign pole) mounted on damaged base", "position": "slightly left of center in the lower-middle of image on sidewalk near crosswalk", "orientation": "vertical"}, {"id": "obj_5", "class": "building", "description": "Multi-story residential building with balconies and windows", "position": "background across upper part of image", "orientation": "faces street"}, {"id": "obj_6", "class": "vegetation", "description": "Dense shrubs and small trees between sidewalk and building", "position": "background middle of image behind parked car", "orientation": "line along property edge"}, {"id": "obj_7", "class": "sign_pole", "description": "Thin metal sign pole with small sign near curb by parked car", "position": "right-center of image just in front of parked car", "orientation": "vertical"}]</t>
  </si>
  <si>
    <t>[{"id": "anom_1", "related_objects": ["obj_1", "obj_4"], "type": "damaged_sidewalk_and_pole_base", "description": "Broken and uneven paving stones with exposed concrete and debris around the base of the pole on the sidewalk adjacent to the crosswalk.", "risk_score_1_to_10": 5, "risk_target": ["pedestrians"], "region": {"x_center_norm": 0.39, "y_center_norm": 0.55, "width_norm": 0.32, "height_norm": 0.22}, "reasoning": "The area around the pole base is visibly broken and raised, creating an irregular walking surface where pedestrians would naturally pass to use the crosswalk. This poses a moderate tripping and falling hazard, especially for elderly people, children, or those with mobility issues."}]</t>
  </si>
  <si>
    <t>Likely a Mediterranean or Middle Eastern urban area inferred from building style, vegetation, and sidewalk design; confidence medium. Main concern is pedestrian trip hazard rather than vehicle collision risk.</t>
  </si>
  <si>
    <t>Mixed/0121.jpg</t>
  </si>
  <si>
    <t>Narrow winding mountain road with guardrails and power lines in a densely forested area.</t>
  </si>
  <si>
    <t>[{"id": "obj_1", "class": "roadway", "description": "Narrow two-lane mountain road curving to the right, with visible edge lines but no centerline marking", "position": "bottom center curving to mid-right", "orientation": "roadway heading away from camera and turning right"}, {"id": "obj_2", "class": "traffic_sign", "description": "Yellow diamond-shaped winding road warning sign", "position": "left side near lower-left quadrant beside guardrail", "orientation": "facing approaching drivers"}, {"id": "obj_3", "class": "guardrail", "description": "Metal guardrail running along outside edge of road bordering steep drop and rock wall", "position": "left edge and right edge of road", "orientation": "parallel to roadway"}, {"id": "obj_4", "class": "utility_pole", "description": "Tall concrete utility pole with multiple overhead power cables", "position": "upper center-left beside road", "orientation": "vertical; cables diagonal across scene"}, {"id": "obj_5", "class": "cliff_wall", "description": "Steep rock face covered with vegetation immediately adjacent to right side of road", "position": "right edge of frame", "orientation": "vertical wall along roadway"}, {"id": "obj_6", "class": "vegetation", "description": "Dense forested mountains and roadside shrubs", "position": "background and both sides of road", "orientation": "surrounding terrain"}]</t>
  </si>
  <si>
    <t>Step 1 – Likely context: Rural/mountainous road in an East Asian country (medium confidence) based on vegetation, road style, and sign shape. Step 2 – Scene type: roadway/traffic environment and natural-urban interface. The image shows standard infrastructure for a curvy mountain road, with appropriate warning sign, guardrails, and no visible traffic conflicts, debris, or damaged infrastructure. No specific anomaly or abnormal risk beyond the inherent but expected sharp curves and potential steep drop-offs typical for such roads.</t>
  </si>
  <si>
    <t>Mixed/0091.jpg</t>
  </si>
  <si>
    <t>Quiet residential dirt road with scattered debris, parked vehicles, and overhead power lines in a suburban neighborhood.</t>
  </si>
  <si>
    <t>[{"id": "obj_1", "class": "roadway", "description": "Wide unpaved dirt road extending from foreground to background center", "position": "center of image, occupying most of lower and middle area", "orientation": "aligned roughly from bottom center toward upper center"}, {"id": "obj_2", "class": "car", "description": "Light-colored sedan parked on left side near grassy area", "position": "left mid-ground", "orientation": "facing toward camera at slight angle"}, {"id": "obj_3", "class": "car", "description": "Dark SUV or pickup parked further down the road on left side", "position": "left background near houses", "orientation": "parallel to road"}, {"id": "obj_4", "class": "car", "description": "White vehicle stopped on right side of the road in the distance", "position": "center-right background", "orientation": "facing toward camera"}, {"id": "obj_5", "class": "pedestrian", "description": "Single person walking along left side of road", "position": "center-left background near tree line", "orientation": "walking away from camera"}, {"id": "obj_6", "class": "tree", "description": "Large tree overhanging road with branches extending over roadway", "position": "center background spanning left to center", "orientation": "branches spreading horizontally"}, {"id": "obj_7", "class": "power_pole", "description": "Series of wooden utility poles with overhead power lines", "position": "right side of image running along road", "orientation": "vertical poles with lines running horizontally and diagonally"}, {"id": "obj_8", "class": "debris", "description": "Scattered small debris and litter on dirt road surface", "position": "foreground and right side of roadway", "orientation": "lying flat on ground"}, {"id": "obj_9", "class": "residential_building", "description": "Row of houses with walls and gates along right side", "position": "right mid-ground", "orientation": "fronts facing road"}]</t>
  </si>
  <si>
    <t>[{"id": "anom_1", "related_objects": ["obj_1", "obj_8"], "type": "road_surface_debris", "description": "Dirt roadway contains scattered litter and small debris that could affect vehicle traction or cause minor hazards for pedestrians and cyclists.", "risk_score_1_to_10": 3, "risk_target": ["drivers", "pedestrians", "cyclists"], "region": {"x_center_norm": 0.45, "y_center_norm": 0.72, "width_norm": 0.7, "height_norm": 0.55}, "reasoning": "Numerous small objects are visible across the dirt road surface, especially in the foreground and right side. While not large obstacles, on an unpaved road they may contribute to slips, trips, or minor loss of control for vehicles or pedestrians."}]</t>
  </si>
  <si>
    <t>Location context: likely a low-traffic residential area in a warm-climate region, inferred from dirt road, house styles, and vegetation; confidence medium. No immediate traffic or electrical hazards evident; primary concern is minor road cleanliness and surface quality.</t>
  </si>
  <si>
    <t>Mixed/0065.jpg</t>
  </si>
  <si>
    <t>A large bison stands on a paved road in a forested, rural area.</t>
  </si>
  <si>
    <t>[{"id": "obj_1", "class": "bison", "description": "Large adult bison standing on the roadway, occupying much of the lane", "position": "foreground center, on the right half of the traffic lane", "orientation": "body roughly parallel to road, head angled slightly downward toward right"}, {"id": "obj_2", "class": "roadway", "description": "Two-lane paved road with painted white line and shoulder", "position": "extends from bottom foreground to mid-background across image width", "orientation": "horizontal across image"}, {"id": "obj_3", "class": "forest", "description": "Dense coniferous trees along roadside in background", "position": "background across full width behind the road", "orientation": "upright trees on sloped terrain"}]</t>
  </si>
  <si>
    <t>[{"id": "anom_1", "related_objects": ["obj_1", "obj_2"], "type": "large_wild_animal_on_roadway", "description": "A large bison is standing directly on the traffic lane of a paved road, creating a significant collision and personal safety hazard.", "risk_score_1_to_10": 8, "risk_target": ["drivers", "vehicle_occupants", "pedestrians"], "region": {"x_center_norm": 0.43, "y_center_norm": 0.55, "width_norm": 0.44, "height_norm": 0.6}, "reasoning": "The bison occupies much of the lane and is close to the camera viewpoint, implying proximity to vehicles. On rural roads in forested areas, sudden presence of a large, heavy animal can cause severe collisions or aggressive encounters if humans approach too closely. Even if common in some national parks, it remains a high-risk traffic and personal safety situation."}]</t>
  </si>
  <si>
    <t>Geolocation assessment: medium-confidence North American rural or national park setting inferred from road type, conifer forest, and presence of a bison. Even where such animals are expected, best practice is to stop vehicles at a safe distance and avoid approaching.</t>
  </si>
  <si>
    <t>Mixed/0108.jpg</t>
  </si>
  <si>
    <t>Quiet sunny residential street in a hilly semi-rural area, viewed from a vehicle driving along the road.</t>
  </si>
  <si>
    <t>[{"id": "obj_1", "class": "roadway", "description": "Two-lane paved road with a single broken white centerline extending into the distance", "position": "center of image, stretching from bottom edge to horizon", "orientation": "aligned roughly vertical in image, receding away from viewer"}, {"id": "obj_2", "class": "sidewalk", "description": "Narrow sidewalks or paved shoulders on both sides of the road", "position": "left and right edges adjacent to road", "orientation": "parallel to road"}, {"id": "obj_3", "class": "parked_car", "description": "Dark-colored car parked on the left side off the roadway near a house", "position": "left side, lower-left quadrant", "orientation": "parked parallel to road"}, {"id": "obj_4", "class": "parked_car", "description": "Red car parked on right side further down the street near houses", "position": "center of image near vanishing point", "orientation": "parallel to road"}, {"id": "obj_5", "class": "building", "description": "Residential houses and small structures lining both sides of the street", "position": "left and right sides of midground", "orientation": "facing street"}, {"id": "obj_6", "class": "utility_pole", "description": "Multiple wooden utility poles with power lines running along both sides of the street", "position": "both sides from foreground to background", "orientation": "vertical poles; cables spanning horizontally and diagonally"}, {"id": "obj_7", "class": "vegetation", "description": "Dense green bushes and trees along right side and in background hills", "position": "right edge and background hills", "orientation": "natural growth along sidewalk and hillside"}, {"id": "obj_8", "class": "hills_mountains", "description": "Forest-covered hills or low mountains at the end of the street", "position": "background, upper-center", "orientation": "horizon"}, {"id": "obj_9", "class": "vehicle_interior", "description": "Bottom edge of a car dashboard or windshield frame from which the scene is viewed", "position": "bottom edge of image", "orientation": "horizontal"}]</t>
  </si>
  <si>
    <t>Step 1 – Likely a Japanese or East Asian semi-rural residential area inferred from architecture, utility poles, narrow street, and mountainous greenery; confidence medium. No pedestrians, moving vehicles, or obvious hazards are visible. Vegetation encroaches slightly on the right sidewalk but does not yet obstruct the roadway, so it is not considered an anomaly in this static frame. Overall the scene appears safe with normal residential traffic conditions.</t>
  </si>
  <si>
    <t>Mixed/0063.png</t>
  </si>
  <si>
    <t>Urban sidewalk piled high with cardboard boxes and packaging waste next to a parked SUV along a residential/commercial street.</t>
  </si>
  <si>
    <t>[{"id": "obj_1", "class": "cardboard_boxes_waste", "description": "Large heap of cardboard boxes, packaging material, and debris covering much of the sidewalk area in the foreground and midground.", "position": "foreground and center of sidewalk, extending from bottom center toward mid-right", "orientation": "irregular pile spreading horizontally across pedestrian path"}, {"id": "obj_2", "class": "car", "description": "White SUV parked parallel to curb along the right side of the scene.", "position": "mid to right side of image, adjacent to the curb", "orientation": "oriented roughly parallel to street, facing away from camera"}, {"id": "obj_3", "class": "sidewalk", "description": "Paved pedestrian sidewalk with concrete tiles partly blocked by cardboard waste.", "position": "extends from bottom of image toward background along left and center", "orientation": "runs roughly from bottom to top of image along building side"}, {"id": "obj_4", "class": "building", "description": "Multi-story urban residential/commercial building with balconies and air conditioning units.", "position": "left side and background of image along sidewalk", "orientation": "facade runs parallel to street"}, {"id": "obj_5", "class": "tree", "description": "Street trees planted along the sidewalk.", "position": "one trunk in left foreground and others further along sidewalk", "orientation": "vertical"}, {"id": "obj_6", "class": "road", "description": "Vehicle roadway adjacent to the sidewalk where the SUV is parked.", "position": "behind the cardboard pile and car, mid to right of image", "orientation": "runs horizontally across the frame"}]</t>
  </si>
  <si>
    <t>[{"id": "anom_1", "related_objects": ["obj_1", "obj_3"], "type": "sidewalk_obstruction_waste", "description": "Excessive amount of cardboard boxes and packaging waste obstructing the sidewalk, forcing pedestrians to detour or step into the street.", "risk_score_1_to_10": 6, "risk_target": ["pedestrians"], "region": {"x_center_norm": 0.45, "y_center_norm": 0.62, "width_norm": 0.7, "height_norm": 0.55}, "reasoning": "The pile of boxes covers nearly the full width of the sidewalk in the central area, blocking normal passage. This creates tripping hazards and may compel pedestrians, including those with limited mobility or pushing strollers, to move closer to or into the roadway where vehicles operate, increasing collision risk."}, {"id": "anom_2", "related_objects": ["obj_1"], "type": "litter_environmental_nuisance", "description": "Large unmanaged pile of cardboard and plastic packaging that may attract pests, scatter in wind, and block drainage or access covers.", "risk_score_1_to_10": 3, "risk_target": ["general_civilians"], "region": {"x_center_norm": 0.45, "y_center_norm": 0.7, "width_norm": 0.7, "height_norm": 0.6}, "reasoning": "While mainly a cleanliness and environmental issue, the volume of loose cardboard and plastic could spread further onto the walkway or street and potentially block street infrastructure such as drains or service covers, creating minor but persistent hazards."}]</t>
  </si>
  <si>
    <t>Step 1 – Likely an urban environment in a warm-climate city (medium-rise buildings, street trees, air conditioners on facades), possibly Mediterranean or Middle Eastern, but this is low-confidence and not critical to the risk analysis. The dominant safety concern is sidewalk obstruction by waste, posing moderate risk primarily to pedestrians.</t>
  </si>
  <si>
    <t>Mixed/0087.jpg</t>
  </si>
  <si>
    <t>Two-lane rural road in hilly terrain with several cars ahead and roadside pedestrians or stopped people near the right shoulder, viewed from a moving vehicle.</t>
  </si>
  <si>
    <t>[{"id": "obj_1", "class": "car", "description": "Dark hatchback directly ahead of camera in same lane", "position": "center foreground in driving lane", "orientation": "facing away from camera, aligned with road direction"}, {"id": "obj_2", "class": "car", "description": "Light-colored car in front of dark hatchback", "position": "slightly right of center, forward in same lane", "orientation": "facing away from camera, aligned with road"}, {"id": "obj_3", "class": "car", "description": "Additional vehicle(s) further ahead forming a small queue", "position": "center distance along lane", "orientation": "facing away from camera"}, {"id": "obj_4", "class": "pedestrian", "description": "Person standing or walking near right shoulder close to distant cars", "position": "right side of road, mid-distance", "orientation": "facing roughly toward roadway"}, {"id": "obj_5", "class": "pedestrian", "description": "Another person near the right roadside further back or beside obj_4", "position": "right roadside, mid-distance", "orientation": "partially turned toward road"}, {"id": "obj_6", "class": "roadway", "description": "Two-lane paved rural road with center line and unpaved right shoulder", "position": "extending from foreground to background", "orientation": "curving slightly left ahead"}, {"id": "obj_7", "class": "utility_pole", "description": "Single tall utility pole on right side of road", "position": "right mid-distance off shoulder", "orientation": "vertical"}, {"id": "obj_8", "class": "hill", "description": "Large green hillside sloping up on left side", "position": "left background", "orientation": "rising from road edge upward"}]</t>
  </si>
  <si>
    <t>[{"id": "anom_1", "related_objects": ["obj_2", "obj_3", "obj_4", "obj_5"], "type": "pedestrians_and_stopped_activity_on_high-speed_rural_road", "description": "Pedestrians and possible stopped/slow vehicles are present near or on the narrow right shoulder of a rural two-lane road where traffic appears to be moving at around 58 km/h, increasing risk of collision.", "risk_score_1_to_10": 6, "risk_target": ["drivers", "pedestrians"], "region": {"x_center_norm": 0.64, "y_center_norm": 0.57, "width_norm": 0.18, "height_norm": 0.26}, "reasoning": "The dashcam overlay indicates about 58 km/h while there are people standing or walking close to the traffic lane near a cluster of cars ahead. On a narrow rural road with limited shoulder and no protective barrier, any sudden lane change or braking could endanger both pedestrians and following vehicles."}]</t>
  </si>
  <si>
    <t>Geolocation confidence is low; the scene appears to be a rural or semi-rural road in a hilly, possibly Mediterranean or similar climate, inferred from vegetation and landscape. The primary concern is interaction between moving vehicles and unprotected roadside pedestrians/activities.</t>
  </si>
  <si>
    <t>Mixed/0069.png</t>
  </si>
  <si>
    <t>Foggy or hazy coastal urban beach scene with waves, palm trees, beachfront buildings, and a few people on the shore.</t>
  </si>
  <si>
    <t>[{"id": "obj_1", "class": "sea", "description": "Rough sea with visible waves breaking toward the shore on the right and upper portions of the image", "position": "right and upper half of the scene along the coastline", "orientation": "waves moving roughly toward the beach"}, {"id": "obj_2", "class": "beach", "description": "Sandy beach stretching horizontally between the urban area and the sea", "position": "central band of the image from left to right", "orientation": "parallel to the shoreline"}, {"id": "obj_3", "class": "building", "description": "Multi‑story beachfront buildings and hotels", "position": "upper left and far background along the coast", "orientation": "facing the sea"}, {"id": "obj_4", "class": "building", "description": "Low and mid‑rise buildings close to the camera", "position": "lower left quadrant", "orientation": "oriented toward the beach/road"}, {"id": "obj_5", "class": "palm_trees", "description": "Rows of palm trees along the waterfront promenade and near buildings", "position": "lower and central areas bordering the beach", "orientation": "upright vertical"}, {"id": "obj_6", "class": "lifeguard_tower", "description": "Raised lifeguard tower with structure visible and red flags or markers", "position": "lower central-right edge of the beach near the waterline", "orientation": "facing the sea"}, {"id": "obj_7", "class": "pedestrians", "description": "Scattered small human figures walking or standing on the beach", "position": "central band of the beach near the shoreline", "orientation": "various, generally parallel to shore"}, {"id": "obj_8", "class": "haze_fog", "description": "Significant atmospheric haze or fog reducing overall visibility and contrast", "position": "covers the entire scene", "orientation": "n/a"}]</t>
  </si>
  <si>
    <t>[{"id": "anom_1", "related_objects": ["obj_1", "obj_2", "obj_6", "obj_7"], "type": "rough_sea_with_beachgoers", "description": "Rough sea conditions with strong waves close to the shore while some people are still on or near the beach.", "risk_score_1_to_10": 5, "risk_target": ["pedestrians"], "region": {"x_center_norm": 0.6, "y_center_norm": 0.55, "width_norm": 0.7, "height_norm": 0.55}, "reasoning": "The water appears choppy with sizable breaking waves close to the shoreline, indicating potentially hazardous swimming or wading conditions. Although people visible seem mostly on the sand, any entry into the water could present a moderate drowning or knock‑down risk, especially if lifeguard services are limited or visibility is poor."}, {"id": "anom_2", "related_objects": ["obj_8", "obj_7", "obj_4", "obj_5"], "type": "reduced_visibility_haze", "description": "Heavy haze or fog substantially reduces visibility along the beachfront and nearby urban area.", "risk_score_1_to_10": 4, "risk_target": ["pedestrians", "drivers"], "region": {"x_center_norm": 0.5, "y_center_norm": 0.5, "width_norm": 1.0, "height_norm": 1.0}, "reasoning": "The entire image is low‑contrast and blurred by atmospheric haze or fog, implying reduced visibility. This can impair awareness of waves, other people, and any vehicles or bikes on nearby roads or promenades, slightly increasing risk of accidents or difficulty spotting someone in distress."}]</t>
  </si>
  <si>
    <t>Geolocation confidence is low; appears to be a warm‑climate coastal city (e.g., Mediterranean or similar) based on palm trees and beachfront high‑rises. No clear evidence of swimmers in the water, so risk is assessed as moderate rather than high.</t>
  </si>
  <si>
    <t>Mixed/0021.jpg</t>
  </si>
  <si>
    <t>Open manhole in a paved urban street with a single traffic cone and a tool nearby.</t>
  </si>
  <si>
    <t>[{"id": "obj_1", "class": "manhole_opening", "description": "Open manhole in the asphalt with cover hinged upright on the left edge, steam or vapor coming out", "position": "foreground left-center of the street surface", "orientation": "cover standing roughly vertical on the left side of the opening"}, {"id": "obj_2", "class": "traffic_cone", "description": "Single orange traffic cone placed near the open manhole", "position": "foreground right-center, slightly behind and to the right of the manhole", "orientation": "upright on the pavement"}, {"id": "obj_3", "class": "tool", "description": "Metal tool (likely manhole hook or rake) lying flat on the pavement", "position": "right side of the scene near the cone", "orientation": "lying horizontally on the ground"}, {"id": "obj_4", "class": "guard_rail", "description": "Green metal rail or fence bordering the paved area", "position": "background, running horizontally across the upper part of the image", "orientation": "parallel to the edge of the pavement"}, {"id": "obj_5", "class": "road_surface", "description": "Asphalt pavement with some wet patches and scattered leaves", "position": "covers most of the image", "orientation": "horizontal surface"}]</t>
  </si>
  <si>
    <t>[{"id": "anom_1", "related_objects": ["obj_1", "obj_2"], "type": "insufficiently_marked_open_manhole", "description": "Open manhole in a traffic/pedestrian area is marked by only a single cone, leaving a large unprotected fall hazard.", "risk_score_1_to_10": 8, "risk_target": ["pedestrians", "drivers", "cyclists"], "region": {"x_center_norm": 0.33, "y_center_norm": 0.55, "width_norm": 0.45, "height_norm": 0.55}, "reasoning": "An uncovered manhole on a paved surface where vehicles or pedestrians may pass is a significant fall and collision hazard. Only one cone is present and it is not forming a barrier or encircling the opening, which would be expected for safe work zones. Someone not paying attention, especially at night or in poor visibility, could fall in or a vehicle or bicycle wheel could drop into the opening."}]</t>
  </si>
  <si>
    <t>Geolocation and cultural context are uncertain (low confidence); generic urban environment with typical traffic cone and manhole. Regardless of region, an open manhole with minimal marking represents a high fall and trip hazard.</t>
  </si>
  <si>
    <t>Mixed/0005.png</t>
  </si>
  <si>
    <t>Well-lit urban sidewalk at night next to a roadway, with streetlights, fencing, and vegetation; no people or vehicles close to the camera.</t>
  </si>
  <si>
    <t>[{"id": "obj_1", "class": "sidewalk", "description": "Wide paved pedestrian sidewalk extending from foreground to background along the right side of the frame", "position": "dominant foreground and center-right of scene", "orientation": "aligned along image depth, leading away from camera"}, {"id": "obj_2", "class": "road", "description": "Vehicle roadway running parallel to the sidewalk on the left side, with some distant traffic and lane lights", "position": "left side of scene, extending into background", "orientation": "parallel to sidewalk, away from camera"}, {"id": "obj_3", "class": "streetlight", "description": "Modern double-headed streetlight pole on sidewalk near foreground-middle", "position": "slightly left of sidewalk center, mid-depth", "orientation": "vertical pole with lights projecting over sidewalk and road"}, {"id": "obj_4", "class": "streetlights", "description": "Series of similar streetlight poles receding into distance along sidewalk and road", "position": "center line of image extending to background", "orientation": "aligned along path"}, {"id": "obj_5", "class": "fence", "description": "Tall metal fence on top of a stone wall along the right side, separating sidewalk from an elevated property", "position": "right edge of scene extending from foreground to background", "orientation": "parallel to sidewalk"}, {"id": "obj_6", "class": "vegetation", "description": "Bushes along base of wall and trees along roadside to the left", "position": "right edge near wall and left edge near road", "orientation": "linear rows along both sides"}, {"id": "obj_7", "class": "traffic_barrier", "description": "Low white metal barriers separating sidewalk/shoulder from roadway on the left", "position": "left-middle edge of scene, parallel to road", "orientation": "parallel to road and sidewalk"}, {"id": "obj_8", "class": "buildings", "description": "Urban buildings visible in the distant background across the road", "position": "background left and center", "orientation": "facing road/sidewalk"}]</t>
  </si>
  <si>
    <t>Step 1 – Likely a modern urban area in a temperate or warm climate, possibly Mediterranean or Middle Eastern, inferred from vegetation, building style, and street furniture; confidence: low-to-medium. Scene Types: sidewalk/pedestrian zone, roadway/traffic environment, mixed urban. The area appears orderly and well lit; no visible pedestrians, vehicles close by, or obstructions, and no clear safety anomalies or abnormal risks are evident in this frame.</t>
  </si>
  <si>
    <t>Mixed/0025.jpg</t>
  </si>
  <si>
    <t>Extremely congested multilane urban roadway with dense traffic of cars, buses, and auto-rickshaws after rain, with some pedestrians and motorbikes along the edges.</t>
  </si>
  <si>
    <t>[{"id": "obj_1", "class": "roadway", "description": "Wide multi-lane divided road filled with vehicles in both directions", "position": "center spanning entire width and depth of scene", "orientation": "receding away from camera"}, {"id": "obj_2", "class": "cars", "description": "Large number of passenger cars tightly packed bumper-to-bumper", "position": "throughout center lanes in both directions", "orientation": "some facing toward camera, some away depending on lane"}, {"id": "obj_3", "class": "buses", "description": "Several large city buses in orange, green, and white amidst traffic", "position": "center and lower-right of frame within main traffic flow", "orientation": "aligned with roadway direction"}, {"id": "obj_4", "class": "auto_rickshaws", "description": "Numerous green-yellow three-wheeler auto-rickshaws among other vehicles", "position": "mixed into traffic mostly lower half of image", "orientation": "aligned with vehicle flow"}, {"id": "obj_5", "class": "motorcycles", "description": "Motorcycles and scooters traveling near lane edges and along side road", "position": "edges of roadway, especially lower-right and far-right lanes", "orientation": "aligned with roadway"}, {"id": "obj_6", "class": "pedestrians", "description": "Scattered pedestrians walking along roadside paths and medians", "position": "left side path, central median, and far-right sidewalk area", "orientation": "various directions"}, {"id": "obj_7", "class": "median_vegetation", "description": "Vegetated central strip separating main congested lanes from side road", "position": "left-center vertically through image", "orientation": "parallel to roadway"}, {"id": "obj_8", "class": "billboards", "description": "Large roadside advertising boards on median and right side", "position": "lower-center and mid-left", "orientation": "facing toward oncoming traffic/camera"}, {"id": "obj_9", "class": "street_lights", "description": "Tall street light poles along median and roadside", "position": "aligned along both sides and median of road", "orientation": "vertical"}, {"id": "obj_10", "class": "buildings", "description": "Dense urban buildings and structures in background skyline", "position": "upper part of frame behind roadway", "orientation": "facing toward road"}, {"id": "obj_11", "class": "wet_road_surface", "description": "Shiny, reflective road indicating recent or ongoing wet conditions", "position": "all vehicle lanes and side paths", "orientation": "flat along roadway"}]</t>
  </si>
  <si>
    <t>[{"id": "anom_1", "related_objects": ["obj_1", "obj_2", "obj_3", "obj_4", "obj_5"], "type": "severe_traffic_congestion", "description": "Extremely dense, near-gridlock traffic with vehicles bumper-to-bumper across all lanes and directions.", "risk_score_1_to_10": 6, "risk_target": ["drivers", "passengers", "motorcyclists"], "region": {"x_center_norm": 0.5, "y_center_norm": 0.65, "width_norm": 1.0, "height_norm": 0.6}, "reasoning": "Vehicle spacing is minimal with little room for maneuvering or emergency stops. In combination with wet pavement, this increases risk of low-speed collisions and side-swipes, especially for more vulnerable motorcyclists filtering between lanes."}, {"id": "anom_2", "related_objects": ["obj_5", "obj_6", "obj_11"], "type": "vulnerable_users_near_dense_traffic_on_wet_road", "description": "Motorcycles and some pedestrians are moving very close to dense vehicle streams on a wet roadway without clear separation or barriers.", "risk_score_1_to_10": 7, "risk_target": ["motorcyclists", "pedestrians"], "region": {"x_center_norm": 0.9, "y_center_norm": 0.6, "width_norm": 0.2, "height_norm": 0.6}, "reasoning": "Where visible on the right side, motorcycles travel near the lane edge on slick pavement with no physical barrier from larger vehicles. Any sudden lane change or slip could cause a serious crash. Pedestrians walking near the road are also at higher risk in wet, congested conditions with limited driver visibility."}]</t>
  </si>
  <si>
    <t>Likely South Asian megacity context (possibly India) inferred from vehicle types, auto-rickshaws, and bus designs; congestion of this magnitude is somewhat common but still presents elevated safety risk, especially with wet road conditions.</t>
  </si>
  <si>
    <t>Mixed/0074.png</t>
  </si>
  <si>
    <t>Stormy coastal urban beach with strong waves and no visible people on the shore.</t>
  </si>
  <si>
    <t>[{"id": "obj_1", "class": "sea", "description": "Rough sea with strong waves along right side of image", "position": "right half of scene, extending from mid to far distance", "orientation": "waves approaching shore roughly perpendicular to beach"}, {"id": "obj_2", "class": "beach", "description": "Wide sandy beach bordering the sea, appears wet and mostly empty", "position": "center band from foreground to background between promenade and sea", "orientation": "parallel to shoreline"}, {"id": "obj_3", "class": "promenade", "description": "Paved walkway with palm trees and light poles running along beach", "position": "left and lower-central edge, parallel to beach", "orientation": "roughly diagonal from lower left to center"}, {"id": "obj_4", "class": "buildings", "description": "Multi-story residential or hotel buildings near the coast", "position": "left side and upper left background", "orientation": "faces toward sea"}, {"id": "obj_5", "class": "palm_trees", "description": "Row of palm trees along promenade and scattered on beach", "position": "lower and central portions parallel to shoreline", "orientation": "upright; some slightly leaning in wind"}, {"id": "obj_6", "class": "lifeguard_tower", "description": "Small elevated lifeguard structure on beach", "position": "left-center on sand near waterline", "orientation": "facing sea"}]</t>
  </si>
  <si>
    <t>[{"id": "anom_1", "related_objects": ["obj_1", "obj_2"], "type": "rough_sea_conditions", "description": "Strong surf and rough sea conditions close to the shore along a public beach.", "risk_score_1_to_10": 5, "risk_target": ["swimmers", "general_civilians"], "region": {"x_center_norm": 0.72, "y_center_norm": 0.45, "width_norm": 0.56, "height_norm": 0.62}, "reasoning": "The waves are large and breaking close to shore, suggesting strong currents or stormy conditions. While the beach appears empty, such conditions are hazardous if people enter the water or walk too close to the surf, especially in an urban beach setting where recreation is normal."}]</t>
  </si>
  <si>
    <t>Geolocation context: likely a Mediterranean or subtropical coastal city (medium confidence) inferred from palm trees, architecture, and sandy urban beach. No visible pedestrians or swimmers reduce immediate risk, but conditions would warrant caution or beach closure.</t>
  </si>
  <si>
    <t>Mixed/0022.jpg</t>
  </si>
  <si>
    <t>Urban roadway with vehicles where a manhole cover is displaced, leaving an open manhole in a traffic lane.</t>
  </si>
  <si>
    <t>[{"id": "obj_1", "class": "car", "description": "White sedan stopped or moving slowly in the left side of the lane near the open manhole", "position": "left-foreground of the roadway, adjacent to the manhole", "orientation": "facing away from the camera along the road"}, {"id": "obj_2", "class": "truck", "description": "Red semi-truck with trailer driving in the opposite lane farther ahead", "position": "upper-center of the image in opposing traffic lane", "orientation": "facing toward the camera"}, {"id": "obj_3", "class": "truck", "description": "White box truck driving behind the red semi-truck", "position": "upper-right-center of the image in opposing traffic lane", "orientation": "facing toward the camera"}, {"id": "obj_4", "class": "infrastructure", "description": "Open manhole in the traffic lane", "position": "lower-center of the roadway in the same lane as the white sedan", "orientation": "circular opening perpendicular to road surface"}, {"id": "obj_5", "class": "infrastructure", "description": "Displaced manhole cover lying next to the open manhole", "position": "lower-left of the open manhole on the road surface", "orientation": "flat on the pavement"}]</t>
  </si>
  <si>
    <t>[{"id": "anom_1", "related_objects": ["obj_1", "obj_4", "obj_5"], "type": "open_manhole_in_traffic_lane", "description": "A manhole cover is removed and lying to the side, leaving a large open manhole directly in the traffic lane without visible cones, barriers, or warnings.", "risk_score_1_to_10": 9, "risk_target": ["drivers", "pedestrians", "cyclists"], "region": {"x_center_norm": 0.38, "y_center_norm": 0.63, "width_norm": 0.32, "height_norm": 0.34}, "reasoning": "The open manhole is large enough for a car, bicycle, or pedestrian to fall into and is located where vehicles expect a normal road surface. There are no visible safety markers or diversions, so any inattentive driver, cyclist, or pedestrian entering the lane could experience a severe crash or fall."}]</t>
  </si>
  <si>
    <t>Likely a North American urban or suburban roadway (medium-confidence) based on lane markings and vehicles. The primary hazard is the unprotected open manhole in an active traffic lane, which constitutes an imminent danger if traffic continues normally.</t>
  </si>
  <si>
    <t>Mixed/0062.png</t>
  </si>
  <si>
    <t>Quiet urban residential street with large cardboard boxes and trash placed on a narrow sidewalk next to a metal pole structure and low wall, partially blocking pedestrian passage.</t>
  </si>
  <si>
    <t>[{"id": "obj_1", "class": "sidewalk", "description": "Paved pedestrian sidewalk running along the right side of the street in the foreground and background", "position": "foreground and midground right side of frame", "orientation": "parallel to street direction, extending away from camera"}, {"id": "obj_2", "class": "street", "description": "Two-way residential street with parked cars along the right side", "position": "left and center background, adjacent to sidewalk", "orientation": "extends away from camera into distance"}, {"id": "obj_3", "class": "cardboard_box", "description": "Large flattened cardboard box labeled 'Shark' placed on sidewalk against low stone wall and under metal frame", "position": "bottom center-right foreground on sidewalk", "orientation": "lying flat on pavement, length perpendicular to wall"}, {"id": "obj_4", "class": "cardboard_box", "description": "Open cardboard box containing plastic bags and trash next to metal frame on sidewalk", "position": "center foreground on sidewalk, slightly left of large box", "orientation": "standing upright, opening facing upward"}, {"id": "obj_5", "class": "metal_structure", "description": "Tall metal frame or sign support anchored in sidewalk near curb", "position": "center foreground, between sidewalk walking path and street", "orientation": "vertical posts with cross-bracing"}, {"id": "obj_6", "class": "wall", "description": "Low stone retaining wall separating sidewalk from slightly raised private property", "position": "right side foreground and midground along sidewalk edge", "orientation": "parallel to sidewalk"}, {"id": "obj_7", "class": "parked_car", "description": "White car parked along curb on the street", "position": "midground right near building entrance", "orientation": "aligned with street direction"}, {"id": "obj_8", "class": "tree", "description": "Tree with dense green foliage overhanging sidewalk and metal structure", "position": "upper right foreground and midground above boxes and wall", "orientation": "branches extending over sidewalk"}, {"id": "obj_9", "class": "building", "description": "Multi-story residential buildings lining the street", "position": "right side background and left distance", "orientation": "faces toward street"}]</t>
  </si>
  <si>
    <t>[{"id": "anom_1", "related_objects": ["obj_1", "obj_3", "obj_4", "obj_5", "obj_6"], "type": "sidewalk_obstruction_by_debris", "description": "Large cardboard boxes and trash placed on a narrow section of sidewalk between a metal structure and a low wall, significantly reducing the walking space for pedestrians.", "risk_score_1_to_10": 5, "risk_target": ["pedestrians"], "region": {"x_center_norm": 0.47, "y_center_norm": 0.63, "width_norm": 0.55, "height_norm": 0.4}, "reasoning": "The combination of the metal frame on the curb side and the wall on the property side already narrows the sidewalk. The added cardboard boxes and trash occupy most of the remaining width, forcing pedestrians—especially those with strollers, wheelchairs, or limited mobility—to squeeze through, step into the street, or turn back. This presents a moderate tripping and collision hazard and may push people closer to moving vehicles."}]</t>
  </si>
  <si>
    <t>Location likely a Mediterranean or Southern European urban residential area (medium-confidence) based on building styles, vegetation, and street design. Main concern is pedestrian accessibility and trip risk from the obstructing waste on the sidewalk.</t>
  </si>
  <si>
    <t>Mixed/0007.png</t>
  </si>
  <si>
    <t>Nighttime urban pedestrian crosswalk with two people crossing and a white van stopped at a signalized intersection.</t>
  </si>
  <si>
    <t>[{"id": "obj_1", "class": "pedestrian", "description": "Person in dark clothing walking across the crosswalk toward the camera, right of center.", "position": "mid-ground, slightly right of center on marked crosswalk", "orientation": "facing toward the camera, moving forward"}, {"id": "obj_2", "class": "pedestrian", "description": "Person in darker jacket and light pants standing or slowly walking on the crosswalk, left of center.", "position": "mid-ground, slightly left of center on marked crosswalk", "orientation": "partially facing right side of image"}, {"id": "obj_3", "class": "van", "description": "White van stopped at intersection in right lane near crosswalk.", "position": "right side of the scene at the far edge of the crosswalk area", "orientation": "facing left"}, {"id": "obj_4", "class": "traffic_light", "description": "Vehicle traffic light showing green for vehicles parallel to pedestrians.", "position": "right side, above and just beyond the van", "orientation": "oriented toward approaching vehicles"}, {"id": "obj_5", "class": "traffic_light", "description": "Vehicle traffic light on left side also showing green.", "position": "left side background near trees", "orientation": "oriented toward opposing lane vehicles"}, {"id": "obj_6", "class": "crosswalk", "description": "Wide zebra crosswalk spanning the width of the street.", "position": "foreground and middle of scene", "orientation": "perpendicular to vehicle travel direction"}]</t>
  </si>
  <si>
    <t>[{"id": "anom_1", "related_objects": ["obj_1", "obj_2", "obj_3", "obj_4", "obj_5"], "type": "conflicting signal for pedestrians and vehicles", "description": "Pedestrians are actively on the crosswalk while vehicle traffic lights visible for the roadway appear green, implying vehicles may also have right-of-way.", "risk_score_1_to_10": 6, "risk_target": ["pedestrians", "drivers"], "region": {"x_center_norm": 0.5, "y_center_norm": 0.45, "width_norm": 1.0, "height_norm": 0.4}, "reasoning": "Two pedestrians are in the middle of the crosswalk, yet both visible vehicle traffic lights are green, which normally indicates vehicles may proceed. If drivers follow the green without noticing pedestrians, there is a moderate collision risk, particularly at night with reduced visibility."}]</t>
  </si>
  <si>
    <t>Likely an urban setting in a region using right-hand traffic and European-style zebra crossings; assessment medium-confidence. It is possible that a separate pedestrian signal not visible in the frame is controlling crossing, but based on what is visible, the overlap of pedestrians in the crosswalk with green vehicle lights is treated as a moderate anomaly.</t>
  </si>
  <si>
    <t>Mixed/0054.png</t>
  </si>
  <si>
    <t>Urban sidewalk mostly blocked by a parked SUV beside a low wall and dense vegetation in a residential area.</t>
  </si>
  <si>
    <t>[{"id": "obj_1", "class": "car", "description": "Light-colored SUV parked partly or fully on the brick-paved sidewalk, left side of image, facing away from camera toward the street.", "position": "Occupying the left portion of the sidewalk, adjacent to the curb/road edge", "orientation": "Front of the vehicle points toward the bright intersection ahead; side of vehicle along the sidewalk."}, {"id": "obj_2", "class": "sidewalk", "description": "Narrow brick-paved pedestrian path running from foreground toward the road ahead, partly obstructed by the SUV on the left and a raised stone wall with plants on the right.", "position": "Extends from bottom center of the frame toward the center background", "orientation": "Aligned roughly longitudinally with the camera view."}, {"id": "obj_3", "class": "wall", "description": "Low stone retaining wall on the right edge of the sidewalk with dense ornamental shrubs above it.", "position": "Right side of image along the sidewalk", "orientation": "Runs parallel to the sidewalk."}, {"id": "obj_4", "class": "vegetation", "description": "Trees and shrubs overhanging above and to the right of the sidewalk, creating a somewhat enclosed path.", "position": "Upper and right portions of the frame along the wall and above the sidewalk", "orientation": "Branches extend over the walkway."}, {"id": "obj_5", "class": "road", "description": "Residential street visible ahead of the sidewalk at the top center of the frame.", "position": "Background center of image", "orientation": "Intersects the end of the sidewalk."}, {"id": "obj_6", "class": "building", "description": "Multi-story residential buildings visible beyond the road with balconies and windows.", "position": "Background center and upper center", "orientation": "Facing toward the street."}]</t>
  </si>
  <si>
    <t>[{"id": "anom_1", "related_objects": ["obj_1", "obj_2", "obj_3", "obj_4"], "type": "sidewalk obstruction by parked vehicle", "description": "The SUV is parked on the sidewalk, leaving very limited usable width between the vehicle and the wall with dense vegetation, effectively blocking or severely narrowing the pedestrian path.", "risk_score_1_to_10": 6, "risk_target": ["pedestrians"], "region": {"x_center_norm": 0.32, "y_center_norm": 0.55, "width_norm": 0.55, "height_norm": 0.7}, "reasoning": "In a residential urban context, sidewalks are intended for pedestrian passage. The SUV occupies most of the walkable area, forcing pedestrians—including those with strollers, wheelchairs, or limited mobility—either to squeeze through a very narrow gap next to a wall and shrubs or to step off the curb into the street. This increases trip/fall risk and potential conflicts with vehicles on the road, particularly for children, elderly, or visually impaired pedestrians."}]</t>
  </si>
  <si>
    <t>Geolocation confidence is low; scene suggests a temperate or Mediterranean-style residential neighborhood. Main safety concern is pedestrian accessibility and the need to enter the roadway to bypass the obstructing vehicle.</t>
  </si>
  <si>
    <t>Mixed/0089.jpg</t>
  </si>
  <si>
    <t>A large elk stands on a curved forest road directly in front of an approaching car.</t>
  </si>
  <si>
    <t>[{"id": "obj_1", "class": "animal", "description": "Large elk with antlers standing on the roadway, facing right", "position": "left side of lane, partially in center of road, foreground", "orientation": "body roughly perpendicular to road, head toward right side of image"}, {"id": "obj_2", "class": "car", "description": "White car approaching on the curved road behind the elk", "position": "center of lane, mid-background", "orientation": "facing toward camera and elk, moving forward along the road"}, {"id": "obj_3", "class": "road", "description": "Two-lane paved road with double center line curving through forest", "position": "extends from bottom right foreground to upper right background", "orientation": "curving from bottom right toward upper center-right"}, {"id": "obj_4", "class": "vegetation", "description": "Dense forest with tall trees lining both sides of the road", "position": "background on left and right sides of the scene", "orientation": "surrounding the roadway"}]</t>
  </si>
  <si>
    <t>[{"id": "anom_1", "related_objects": ["obj_1", "obj_2", "obj_3"], "type": "large_animal_in_roadway", "description": "A large elk is standing in the travel lane directly ahead of an oncoming car on a rural forest road.", "risk_score_1_to_10": 8, "risk_target": ["drivers"], "region": {"x_center_norm": 0.3, "y_center_norm": 0.55, "width_norm": 0.37, "height_norm": 0.7}, "reasoning": "The elk occupies the roadway immediately ahead of the approaching car on a curved road where braking and maneuvering space may be limited. A collision with such a large animal can be severe for both the animal and vehicle occupants. Forest context suggests wildlife is somewhat expected, but the immediate proximity and size of the animal present a high crash risk."}]</t>
  </si>
  <si>
    <t>Location context: likely a rural or national-park-type forest road in North America (medium confidence) based on the elk species and road style. Wildlife on roads is contextually plausible but still a high safety hazard when a vehicle is this close.</t>
  </si>
  <si>
    <t>Mixed/0083.jpg</t>
  </si>
  <si>
    <t>Snow-covered rural or small-town road with a van ahead and roadside snowbanks, viewed from a dashcam.</t>
  </si>
  <si>
    <t>[{"id": "obj_1", "class": "car", "description": "Camera vehicle at bottom edge of frame, driving forward on snowy road", "position": "foreground bottom center, occupying near lane", "orientation": "facing forward along road"}, {"id": "obj_2", "class": "van", "description": "Light-colored van driving ahead of the camera vehicle on snowy roadway", "position": "center of lane in middle of image", "orientation": "moving away from camera along road"}, {"id": "obj_3", "class": "car", "description": "Parked dark car partially buried in snow on right roadside beside snowbank", "position": "right side of image off main travel lane", "orientation": "parallel to roadway"}, {"id": "obj_4", "class": "snowbank", "description": "High piles of snow lining both sides of the road", "position": "both sides of road, mostly mid to right of frame", "orientation": "parallel to roadway edges"}, {"id": "obj_5", "class": "utility_pole", "description": "Multiple power/telephone poles with overhead lines along right side of road", "position": "right side of frame along roadside", "orientation": "vertical poles with lines running diagonally"}, {"id": "obj_6", "class": "house", "description": "Detached houses with pitched roofs on both sides of the road", "position": "left and right background along roadside", "orientation": "facing toward road"}]</t>
  </si>
  <si>
    <t>[{"id": "anom_1", "related_objects": ["obj_2", "obj_4"], "type": "snow_covered_roadway", "description": "Road surface appears fully covered with compacted snow/ice, likely reducing traction and increasing braking distance.", "risk_score_1_to_10": 6, "risk_target": ["drivers"], "region": {"x_center_norm": 0.5, "y_center_norm": 0.7, "width_norm": 0.9, "height_norm": 0.5}, "reasoning": "The entire visible roadway is white and lacks clear asphalt or lane markings, indicating snow or ice cover. In a rural, cold-climate setting this is common but still poses moderate crash risk due to reduced friction, especially with vehicles in motion."}, {"id": "anom_2", "related_objects": ["obj_3", "obj_4"], "type": "reduced_parking_clearance_due_to_snowbanks", "description": "Parked car on the right is closely bordered by high snowbanks, which may impede visibility and safe maneuvering in and out of parking.", "risk_score_1_to_10": 3, "risk_target": ["drivers"], "region": {"x_center_norm": 0.78, "y_center_norm": 0.55, "width_norm": 0.25, "height_norm": 0.25}, "reasoning": "The car on the right appears partly buried or hemmed in by piled snow. While common in snowy regions, it slightly increases collision risk when reentering the roadway and reduces roadside escape space."}]</t>
  </si>
  <si>
    <t>Likely in a cold-climate rural area, possibly Eastern Europe/Russia (medium-confidence) based on dashcam timestamp style, house forms, and overhead wiring. No pedestrians or animals visible; main concern is slippery road conditions.</t>
  </si>
  <si>
    <t>Mixed/0078.jpg</t>
  </si>
  <si>
    <t>Dashcam image at an urban intersection where a dark car is cutting across the dashcam vehicle’s path, apparently in a near-collision situation at a signalized junction.</t>
  </si>
  <si>
    <t>[{"id": "obj_1", "class": "car", "description": "Dark-colored sedan or wagon crossing directly in front of the camera at close distance", "position": "center foreground, partially blocking the lane of the dashcam vehicle", "orientation": "moving left-to-right across the camera’s direction of travel, slightly angled toward the camera"}, {"id": "obj_2", "class": "car", "description": "Dashcam vehicle from whose interior the scene is recorded", "position": "bottom foreground, aligned with road centerline", "orientation": "moving straight toward the intersection"}, {"id": "obj_3", "class": "traffic_light", "description": "Overhead traffic signal at the intersection showing a green aspect toward the camera’s direction", "position": "upper center of the intersection ahead of the dashcam vehicle", "orientation": "facing toward the dashcam vehicle’s lane"}, {"id": "obj_4", "class": "roadway", "description": "Paved multi-lane intersection in a mixed urban area with surrounding buildings and trees", "position": "entire lower and central part of the image", "orientation": "dashcam vehicle’s lane runs bottom to top"}, {"id": "obj_5", "class": "building", "description": "Low-rise urban buildings with shops or houses at the roadside", "position": "right side and background along the intersection", "orientation": "parallel to the roadway edges"}]</t>
  </si>
  <si>
    <t>[{"id": "anom_1", "related_objects": ["obj_1", "obj_2", "obj_3"], "type": "intersection right-of-way violation / near-collision", "description": "The dark car is cutting across directly in front of the dashcam vehicle at very close range at a signalized intersection, despite the light in the dashcam’s direction appearing green, indicating a likely failure to yield or red-light violation and an imminent collision risk.", "risk_score_1_to_10": 9, "risk_target": ["drivers", "vehicle_occupants", "pedestrians"], "region": {"x_center_norm": 0.52, "y_center_norm": 0.64, "width_norm": 0.38, "height_norm": 0.37}, "reasoning": "The crossing car is extremely close to the dashcam, occupying much of the lane and oriented laterally, which is typical of a last-moment crossing. The signal overhead facing the dashcam appears green, so the dashcam vehicle likely has right-of-way. This configuration implies high probability of side impact or collision, endangering both vehicles and any nearby road users."}]</t>
  </si>
  <si>
    <t>Geolocation and context are low- to medium-confidence; architecture, vehicle type, and Cyrillic-style signage suggest an Eastern European or post-Soviet urban environment. Regardless of exact location, intersection rules and right-of-way expectations make this a clearly hazardous near-crash situation.</t>
  </si>
  <si>
    <t>Mixed/0017.jpg</t>
  </si>
  <si>
    <t>Urban roadway with cyclists and vehicles where an uncovered manhole is present at the road edge.</t>
  </si>
  <si>
    <t>[{"id": "obj_1", "class": "manhole", "description": "Large uncovered manhole opening in the foreground at the edge of the paved roadway", "position": "bottom-left foreground, adjacent to the roadway surface", "orientation": "opening facing upward"}, {"id": "obj_2", "class": "cyclist", "description": "Person riding a bicycle along the road near the uncovered manhole", "position": "left-center, on the roadway close to the curb/edge", "orientation": "moving rightward along the road"}, {"id": "obj_3", "class": "bicycle", "description": "Green bicycle being ridden by the cyclist near the manhole", "position": "left-center, parallel to road edge", "orientation": "aligned with direction of travel to the right"}, {"id": "obj_4", "class": "car", "description": "Yellow car further down the road in a traffic lane", "position": "center-right background on roadway", "orientation": "moving or oriented rightward"}, {"id": "obj_5", "class": "vehicles", "description": "Additional motor vehicles further in the background on the road", "position": "center to right background on roadway", "orientation": "aligned along roadway direction"}, {"id": "obj_6", "class": "street_lights", "description": "Row of street light poles along the central divider or roadside", "position": "center background extending into distance", "orientation": "upright, aligned along road"}]</t>
  </si>
  <si>
    <t>[{"id": "anom_1", "related_objects": ["obj_1", "obj_2", "obj_3"], "type": "uncovered_manhole_near_traffic", "description": "A large manhole is completely uncovered and unguarded at the road edge where cyclists travel, creating a fall hazard and potential for bicycle or pedestrian to drop into the opening.", "risk_score_1_to_10": 8, "risk_target": ["cyclists", "pedestrians", "drivers"], "region": {"x_center_norm": 0.22, "y_center_norm": 0.77, "width_norm": 0.34, "height_norm": 0.32}, "reasoning": "The opening is wide, deep, and immediately adjacent to the travel path of the cyclist without any cover, barrier, or warning signs. A small deviation, loss of control, or poor visibility could cause a cyclist or pedestrian to fall in, with severe injury. Vehicles swerving to avoid it could also create secondary collisions."}]</t>
  </si>
  <si>
    <t>Geolocation is uncertain (likely a developing urban area with mixed traffic patterns; confidence low), but the uncovered manhole would be considered a serious infrastructure hazard in most contexts.</t>
  </si>
  <si>
    <t>Mixed/0014.jpg</t>
  </si>
  <si>
    <t>Urban residential/commercial street in winter with significant road surface damage and a raised manhole surrounded by a deep pothole in the traffic lane.</t>
  </si>
  <si>
    <t>[{"id": "obj_1", "class": "roadway", "description": "Two-way paved urban street with visible cracks and surface deterioration", "position": "occupies most of the image foreground and midground", "orientation": "road extends from foreground bottom toward background center"}, {"id": "obj_2", "class": "manhole_cover", "description": "Round metal manhole cover raised above surrounding eroded pavement, embedded in a large pothole", "position": "foreground center-left of lane closest to camera", "orientation": "horizontal, aligned with road surface"}, {"id": "obj_3", "class": "pothole", "description": "Large, deep pothole surrounding the raised manhole with loose gravel and broken asphalt", "position": "foreground center-left of nearest lane, surrounding obj_2", "orientation": "depression in road surface"}, {"id": "obj_4", "class": "car", "description": "White car driving along right side of road in the distance", "position": "midground right-center lane, moving away from camera", "orientation": "facing away from camera along roadway"}, {"id": "obj_5", "class": "car", "description": "Light-colored car farther down the road", "position": "background center-right on roadway", "orientation": "facing toward camera or slightly angled"}, {"id": "obj_6", "class": "pedestrians", "description": "Small group of pedestrians on sidewalk near right edge in the distance", "position": "background far right on sidewalk next to curb", "orientation": "standing or walking along sidewalk"}, {"id": "obj_7", "class": "sidewalk", "description": "Sidewalks along both sides of the street, partly snow-covered", "position": "left and right edges of the scene parallel to the road", "orientation": "runs along roadway"}, {"id": "obj_8", "class": "buildings", "description": "Detached houses and small commercial buildings typical of North American urban residential/commercial mix", "position": "both sides of the road in background and midground", "orientation": "fronts facing the street"}, {"id": "obj_9", "class": "utility_poles_and_lines", "description": "Wooden utility poles with overhead power and communication lines", "position": "both sides of the street, especially right side", "orientation": "vertical poles with lines running along street"}, {"id": "obj_10", "class": "traffic_sign", "description": "Pedestrian crossing warning sign", "position": "right side of road midground near sidewalk", "orientation": "facing oncoming traffic"}]</t>
  </si>
  <si>
    <t>[{"id": "anom_1", "related_objects": ["obj_2", "obj_3"], "type": "severe_road_surface_hazard", "description": "Raised manhole cover surrounded by a large, deep pothole and extensive pavement breakup in the middle of a travel lane.", "risk_score_1_to_10": 8, "risk_target": ["drivers", "motorcyclists", "cyclists"], "region": {"x_center_norm": 0.38, "y_center_norm": 0.72, "width_norm": 0.36, "height_norm": 0.33}, "reasoning": "The manhole cover appears significantly elevated relative to the eroded surrounding asphalt, creating a sharp vertical edge and deep depression in the wheel path. Vehicles striking this at normal urban speeds could suffer tire or suspension damage, sudden loss of control, or swerving into adjacent lanes. The hazard is large and not clearly marked, and the overall road surface shows systemic cracking, increasing the likelihood of unpredictable vehicle maneuvers."}, {"id": "anom_2", "related_objects": ["obj_1"], "type": "widespread_road_deterioration", "description": "Extensive cracking and multiple smaller potholes/debris patches across the roadway.", "risk_score_1_to_10": 5, "risk_target": ["drivers", "motorcyclists", "cyclists"], "region": {"x_center_norm": 0.55, "y_center_norm": 0.58, "width_norm": 0.9, "height_norm": 0.5}, "reasoning": "Cracks and scattered smaller potholes are visible across the lanes, indicating an uneven surface and potential for progressive failure. While individually less severe than the main pothole, the cumulative effect increases braking distance, vibration, and the chance of evasive maneuvers or loss of control, particularly for two-wheeled vehicles."}]</t>
  </si>
  <si>
    <t>Context inference: medium-confidence North American urban setting based on detached wooden houses, overhead utilities, signage style, and winter conditions. Dominant hazard is the single large pothole around the raised manhole in the vehicle path.</t>
  </si>
  <si>
    <t>Mixed/0044.jpg</t>
  </si>
  <si>
    <t>Two-lane rural roadway with curves through rocky terrain; one car driving along the road and another car crashed off the road against a rock wall.</t>
  </si>
  <si>
    <t>[{"id": "obj_1", "class": "car", "description": "Moving car on the near lane of a two-lane rural road, lower left area of the image.", "position": "on roadway, nearer foreground, left side of scene", "orientation": "traveling along the curve away from the camera"}, {"id": "obj_2", "class": "car", "description": "Red car off the roadway, lodged against rocky embankment roughly at mid-height of the scene, slightly left of center.", "position": "off-road, in rocky ditch or cut between road segments", "orientation": "angled toward rock wall, appears stationary"}, {"id": "obj_3", "class": "roadway", "description": "Curving two-lane rural road with dashed centerline and narrow shoulders, passing between rocky outcrops.", "position": "extends from foreground bottom to background top through center", "orientation": "curves left then right"}, {"id": "obj_4", "class": "rock_wall", "description": "Rocky embankments and cuttings immediately adjacent to roadway on both sides.", "position": "flanks both sides of the road, especially mid-scene", "orientation": "parallel to road alignment"}]</t>
  </si>
  <si>
    <t>[{"id": "anom_1", "related_objects": ["obj_2", "obj_3", "obj_4"], "type": "vehicle_off_road_crash", "description": "A red car appears to have left the roadway and crashed into the rocky embankment, resting off the road in a ditch-like cut.", "risk_score_1_to_10": 7, "risk_target": ["drivers", "passengers", "general_civilians"], "region": {"x_center_norm": 0.46, "y_center_norm": 0.52, "width_norm": 0.18, "height_norm": 0.22}, "reasoning": "A vehicle off the carriageway and lodged against rocks suggests a recent or unresolved crash. Occupants may be injured and the car could pose secondary risks (sudden re-entry, fire, obstruction for emergency services). The rural, curved road context implies higher speeds and limited visibility, raising the severity even if it does not currently block the lanes."}]</t>
  </si>
  <si>
    <t>Geolocation confidence is low; it appears to be a temperate-climate rural road, possibly in Europe or another region with similar road markings and rocky terrain. Compression artifacts affect clarity but the off-road red car remains clearly abnormal.</t>
  </si>
  <si>
    <t>Mixed/0075.png</t>
  </si>
  <si>
    <t>Overcast coastal urban beachfront with waves breaking onshore, palm-lined promenade, and adjacent low- to mid-rise buildings; no visible people or vehicles.</t>
  </si>
  <si>
    <t>[{"id": "obj_1", "class": "sea", "description": "Open water with visible whitecaps and surf, right half of image", "position": "right side, extending from mid to far background", "orientation": "waves approaching shore roughly perpendicular"}, {"id": "obj_2", "class": "beach", "description": "Sandy beach margin between promenade and sea, largely empty", "position": "center band from lower-middle to upper-middle of image along shoreline", "orientation": "parallel to shoreline"}, {"id": "obj_3", "class": "buildings", "description": "Cluster of low- and mid-rise urban buildings near coastline", "position": "left side and upper-left background", "orientation": "facing toward sea"}, {"id": "obj_4", "class": "promenade", "description": "Palm-lined paved walkway separating buildings and beach", "position": "lower-left to mid-left, running parallel to shoreline", "orientation": "curving along coast"}, {"id": "obj_5", "class": "palm_trees", "description": "Rows of palm trees along promenade and scattered near beach", "position": "lower and central part of image", "orientation": "vertical"}, {"id": "obj_6", "class": "lifeguard_towers", "description": "Two small wooden lifeguard towers on the sand", "position": "one mid-left beach, one mid-right beach", "orientation": "facing sea"}, {"id": "obj_7", "class": "pier_or_breakwater", "description": "Narrow structure projecting into the sea with waves breaking around it", "position": "upper-center near horizon", "orientation": "extends roughly perpendicular from shore"}]</t>
  </si>
  <si>
    <t>Step 1 – Geolocation &amp; context: Likely a Mediterranean or similar warm-climate coastal city (e.g., Southern Europe/North Africa) based on palm-lined promenade, architectural style, and surf conditions; confidence medium. No active human use of beach or water is visible, so despite somewhat rough seas, there is no immediate safety anomaly present in this single frame.</t>
  </si>
  <si>
    <t>Mixed/0023.jpg</t>
  </si>
  <si>
    <t>Urban street with a severely damaged roadway section and large pothole or collapse near the curb.</t>
  </si>
  <si>
    <t>[{"id": "obj_1", "class": "roadway", "description": "Asphalt road surface extending across the upper and right parts of the image", "position": "upper and right side of scene", "orientation": "aligned roughly left-right with gentle curve"}, {"id": "obj_2", "class": "sidewalk", "description": "Concrete sidewalk along the left edge of the road, separated by a curb", "position": "left side of scene", "orientation": "runs parallel to road"}, {"id": "obj_3", "class": "curb", "description": "Concrete curb between the sidewalk and the road", "position": "lower-left to mid-left boundary between sidewalk and road", "orientation": "parallel to road"}, {"id": "obj_4", "class": "pothole", "description": "Large, deep roadway collapse with exposed aggregate and subbase material in the asphalt lane adjacent to the curb", "position": "center-left portion of road next to curb", "orientation": "elongated along road direction"}, {"id": "obj_5", "class": "road_surface_damage", "description": "Additional cracks and broken asphalt extending around the main pothole", "position": "surrounding area of pothole on road", "orientation": "irregular"}]</t>
  </si>
  <si>
    <t>[{"id": "anom_1", "related_objects": ["obj_1", "obj_4", "obj_5"], "type": "severe_roadway_damage", "description": "A large, deep pothole or partial road collapse with extensive cracking and missing asphalt near the curb, creating a major surface discontinuity.", "risk_score_1_to_10": 8, "risk_target": ["drivers", "cyclists", "motorcyclists", "pedestrians"], "region": {"x_center_norm": 0.55, "y_center_norm": 0.56, "width_norm": 0.55, "height_norm": 0.45}, "reasoning": "The damaged section occupies much of the lane adjacent to the curb and appears deep with sharp edges. Vehicles, especially two-wheelers, can lose control or suffer damage if they hit it; cars may swerve suddenly toward adjacent lanes or the sidewalk, endangering pedestrians. The extent and depth of the degradation make it a high but not yet catastrophic risk."}]</t>
  </si>
  <si>
    <t>Geolocation is uncertain (likely generic urban roadway, medium-confidence). Risk would increase further at night or in poor visibility if not signed or barricaded.</t>
  </si>
  <si>
    <t>Mixed/0024.jpg</t>
  </si>
  <si>
    <t>Wet paved roadway with double yellow center lines and a large water-filled pothole near a car tire.</t>
  </si>
  <si>
    <t>[{"id": "obj_1", "class": "car", "description": "Partial view of a light-colored car from the side, with front wheel close to the damaged road area on the left side of the frame.", "position": "left side of the lane adjacent to the double yellow center lines", "orientation": "aligned lengthwise with the road markings"}, {"id": "obj_2", "class": "road_surface", "description": "Asphalt roadway with two solid yellow center lines and visible cracks.", "position": "central area of the scene", "orientation": "double yellow lines running from bottom to top of the image"}, {"id": "obj_3", "class": "pothole", "description": "Large, deep pothole with broken asphalt edges and some standing water inside, spanning across and between the yellow center lines.", "position": "center-front of the frame on the lane divider", "orientation": "irregular circular depression in the road"}, {"id": "obj_4", "class": "debris", "description": "Chunk of broken asphalt lying on the road surface to the right of the pothole.", "position": "right of the pothole near the center-right of the image", "orientation": "stationary debris on wet road"}, {"id": "obj_5", "class": "water", "description": "Small pool of water accumulated inside the pothole on the wet road.", "position": "inside the pothole at the image center", "orientation": "standing water in road depression"}]</t>
  </si>
  <si>
    <t>[{"id": "anom_1", "related_objects": ["obj_2", "obj_3", "obj_4", "obj_5", "obj_1"], "type": "severe_road_surface_damage", "description": "A large, deep pothole with loose debris and standing water in the middle of the travel lane along the centerline, very close to an adjacent car tire.", "risk_score_1_to_10": 8, "risk_target": ["drivers", "vehicle_occupants", "motorcyclists", "cyclists"], "region": {"x_center_norm": 0.52, "y_center_norm": 0.6, "width_norm": 0.4, "height_norm": 0.35}, "reasoning": "The pothole is wide, deep, and directly in the path of vehicles, with cracks and displaced asphalt around it, indicating structural weakness. Standing water can conceal the depth and boundaries, increasing the chance of sudden wheel impact, tire damage, loss of control, or swerving into adjacent lanes. Its proximity to the visible car wheel suggests imminent risk if not avoided or if another vehicle encounters it at speed, particularly hazardous for motorcycles and bicycles."}]</t>
  </si>
  <si>
    <t>Geolocation context is low-confidence; typical double yellow center lines and vehicle style suggest a modern road in a country following standard lane-marking conventions (e.g., North America or similar). The main safety concern is infrastructure-related rather than traffic behavior.</t>
  </si>
  <si>
    <t>Mixed/0079.jpg</t>
  </si>
  <si>
    <t>Rural/edge-of-town two-way road captured from a dashcam as an orange dump truck is overturned or sliding sideways across the roadway while a white car approaches in the opposite lane.</t>
  </si>
  <si>
    <t>[{"id": "obj_1", "class": "truck", "description": "Large orange dump truck in middle distance, tilted/overturned with underside and wheels visible, spanning across lanes", "position": "center of roadway ahead of camera, partially blocking both directions", "orientation": "angled across the road, appearing to roll or slide sideways"}, {"id": "obj_2", "class": "car", "description": "White passenger car traveling toward the camera in the opposing lane", "position": "left side of road relative to camera, approaching foreground", "orientation": "moving toward camera in its lane"}, {"id": "obj_3", "class": "car", "description": "Small distant car behind the orange truck in same general direction as the truck", "position": "center-right background of road", "orientation": "aligned with road, likely traveling away from camera"}, {"id": "obj_4", "class": "camera_vehicle", "description": "Vehicle with dashcam from which the image is captured", "position": "foreground bottom edge, in same lane as truck", "orientation": "moving forward toward the truck"}, {"id": "obj_5", "class": "road", "description": "Two-way paved rural road without clear lane markings visible, open fields on both sides", "position": "extending from foreground bottom to horizon center", "orientation": "roughly straight"}]</t>
  </si>
  <si>
    <t>[{"id": "anom_1", "related_objects": ["obj_1", "obj_2", "obj_4"], "type": "overturned_vehicle_obstructing_roadway", "description": "The orange dump truck appears overturned or in the process of rolling/sliding sideways, obstructing multiple lanes of the roadway and creating an imminent collision hazard for both the dashcam vehicle and the oncoming white car.", "risk_score_1_to_10": 9, "risk_target": ["drivers", "vehicle_occupants"], "region": {"x_center_norm": 0.55, "y_center_norm": 0.53, "width_norm": 0.32, "height_norm": 0.33}, "reasoning": "The truck’s undercarriage and tilted body indicate loss of control or rollover; it is across the travel path of both directions. Given the short distance from the camera vehicle and the oncoming car, there is very limited reaction time, making the likelihood and potential severity of collision extremely high."}]</t>
  </si>
  <si>
    <t>Step 1 – Geolocation &amp; Context: Medium-confidence guess of Eastern Europe/Russia based on date-stamp styling and vehicle types; rural or peri-urban two-way road with moderate speed typical for such areas. Step 2 – Scene Type: Roadway/traffic environment in a mixed rural-urban fringe. The high risk arises from the uncontrolled heavy truck obstructing the road in front of moving vehicles.</t>
  </si>
  <si>
    <t>Mixed/0036.jpg</t>
  </si>
  <si>
    <t>Cracked and deteriorating bike lane pavement adjacent to a roadway, marked with a white bicycle symbol and directional chevrons.</t>
  </si>
  <si>
    <t>[{"id": "obj_1", "class": "bike_lane", "description": "Designated bicycle lane marked with a white bike symbol and chevrons on asphalt", "position": "foreground and center of image, running away from the viewer parallel to the road", "orientation": "aligned roughly from bottom-center toward upper-right of the frame"}, {"id": "obj_2", "class": "roadway", "description": "Motor vehicle travel lane with smoother asphalt and white edge line", "position": "right side of image, parallel to and slightly elevated from the bike lane", "orientation": "running from lower-right toward upper-right"}, {"id": "obj_3", "class": "pavement_damage", "description": "Extensive cracking and surface degradation across the bike lane asphalt", "position": "covering most of the bike lane area in the central part of the image", "orientation": "network of irregular cracks in multiple directions"}, {"id": "obj_4", "class": "curb_or_lane_divider", "description": "Raised or differently surfaced strip separating the damaged bike lane from adjacent surface", "position": "left side of the image, running roughly parallel to the bike lane", "orientation": "from lower-left toward upper-left"}]</t>
  </si>
  <si>
    <t>[{"id": "anom_1", "related_objects": ["obj_1", "obj_3"], "type": "damaged_bike_infrastructure", "description": "The bike lane surface is heavily cracked and degraded, creating an uneven and potentially unsafe riding surface for cyclists.", "risk_score_1_to_10": 6, "risk_target": ["cyclists"], "region": {"x_center_norm": 0.45, "y_center_norm": 0.55, "width_norm": 0.7, "height_norm": 0.8}, "reasoning": "In a bike lane, riders expect relatively smooth pavement for stability and braking. The extensive cracking and irregular surface can catch tires, reduce traction, and increase fall risk, especially at speed or in wet conditions. This is a moderate but persistent hazard specifically for cyclists using this lane."}]</t>
  </si>
  <si>
    <t>Geolocation context is low-confidence; the markings and asphalt condition are consistent with many urban or suburban roads. Risk rating assumes this lane is actively used by cyclists; if usage is low, effective real-world risk may be somewhat reduced but the infrastructure condition remains substandard.</t>
  </si>
  <si>
    <t>Mixed/0032.jpg</t>
  </si>
  <si>
    <t>Rural two-lane road with severe surface cracking and degraded pavement, surrounded by vegetation and trees.</t>
  </si>
  <si>
    <t>[{"id": "obj_1", "class": "roadway", "description": "Two-lane paved road extending into the distance with double yellow centerline and no visible traffic", "position": "occupies most of the frame from bottom foreground to upper center, aligned roughly vertically", "orientation": "roadway receding away from the viewer, slight curve to the left in the distance"}, {"id": "obj_2", "class": "road_markings", "description": "Faded double yellow centerline on the cracked road surface", "position": "center of the roadway, running vertically from bottom center toward top center", "orientation": "aligned with road direction"}, {"id": "obj_3", "class": "vegetation", "description": "Grass and low vegetation immediately beside the road edges", "position": "along both sides of the road, especially mid to upper left and right edges of frame", "orientation": "roadside ground cover"}, {"id": "obj_4", "class": "trees", "description": "Dense trees and shrubs lining the roadside further from the pavement", "position": "background on both sides of the road, upper half of the image", "orientation": "vertical growth along roadside"}]</t>
  </si>
  <si>
    <t>[{"id": "anom_1", "related_objects": ["obj_1", "obj_2"], "type": "severely_degraded_road_surface", "description": "Extensive cracking, patching, and uneven pavement across the roadway, with worn lane markings that reduce traction and lane visibility.", "risk_score_1_to_10": 6, "risk_target": ["drivers", "motorcyclists", "cyclists"], "region": {"x_center_norm": 0.5, "y_center_norm": 0.6, "width_norm": 1.0, "height_norm": 0.8}, "reasoning": "The road surface shows large-scale alligator cracking and rough patches across both lanes, which can destabilize two-wheeled vehicles, increase stopping distance, and cause loss of control, especially at speed or in wet conditions. The faded centerline may also reduce lane discipline and passing judgment in a rural context."}]</t>
  </si>
  <si>
    <t>No vehicles or pedestrians are present in the frame, but the structural condition of the pavement poses an ongoing moderate hazard for future road users, particularly at higher speeds and for smaller vehicles.</t>
  </si>
  <si>
    <t>Mixed/0110.jpg</t>
  </si>
  <si>
    <t>Quiet residential side street with parked cars, apartment buildings, and overgrown vegetation on a sunny day, viewed from inside a vehicle.</t>
  </si>
  <si>
    <t>[{"id": "obj_1", "class": "car", "description": "Red car parked on the right side of the narrow road facing away from the camera", "position": "right side of roadway, mid-right foreground", "orientation": "rear facing the camera, aligned with road direction"}, {"id": "obj_2", "class": "car", "description": "Blue car further down the road partially visible behind the red car", "position": "right side of roadway, mid-right background", "orientation": "rear facing the camera, aligned with road direction"}, {"id": "obj_3", "class": "building", "description": "Multi-story residential building with red balconies on the left side of the road", "position": "left side midground", "orientation": "front facade facing the street"}, {"id": "obj_4", "class": "building", "description": "Gray low-rise building with windows and a blue chair outside", "position": "far left foreground", "orientation": "side facing street"}, {"id": "obj_5", "class": "vegetation", "description": "Dense, tall bushes and greenery along the right side of the road", "position": "right edge of scene from foreground to background", "orientation": "lining roadside"}, {"id": "obj_6", "class": "street_light", "description": "Single tall street lamp on the right side of the road near the parked cars", "position": "right side midground", "orientation": "vertical pole"}, {"id": "obj_7", "class": "chair", "description": "Single blue chair placed outside near the gray building", "position": "left side foreground near building entrance", "orientation": "facing roughly toward the road"}, {"id": "obj_8", "class": "car", "description": "Camera/ego vehicle from which the photo is taken, partially visible dashboard and windshield", "position": "bottom foreground, center", "orientation": "facing down the road"}]</t>
  </si>
  <si>
    <t>Step 1 – Geolocation &amp; Context: Likely a European or Eastern European suburban/residential area based on apartment style, vehicle types, and road condition; confidence medium. No pedestrians or active traffic are visible, and the parked cars, vegetation, and infrastructure appear typical for such a quiet residential side street. No clear traffic, environmental, or infrastructure anomalies are evident in this single frame.</t>
  </si>
  <si>
    <t>Mixed/0073.png</t>
  </si>
  <si>
    <t>Urban coastal beachfront with palm-lined promenade, adjacent buildings, and moderate waves on a sparsely populated or empty beach.</t>
  </si>
  <si>
    <t>[{"id": "obj_1", "class": "coastline", "description": "Sandy beach stretching from lower-right to upper-left along the waterline", "position": "middle horizontal band of image between urban area and sea", "orientation": "parallel to shoreline"}, {"id": "obj_2", "class": "sea", "description": "Open water with visible waves approaching shore", "position": "right and upper-right side of image", "orientation": "waves roughly perpendicular to shoreline"}, {"id": "obj_3", "class": "building", "description": "Mid-rise residential or hotel buildings near the beachfront", "position": "left and upper-left portions of image", "orientation": "faces toward sea"}, {"id": "obj_4", "class": "palm_tree", "description": "Numerous palm trees along promenade and near buildings", "position": "lower half of image, concentrated left and center", "orientation": "vertical"}, {"id": "obj_5", "class": "promenade", "description": "Pedestrian walkway with lighting poles running parallel to beach", "position": "center-left to center of image, between buildings/trees and sand", "orientation": "parallel to shoreline"}, {"id": "obj_6", "class": "lifeguard_tower", "description": "Small elevated lifeguard watch structure on beach", "position": "left-center on sand near waterline", "orientation": "faces sea"}, {"id": "obj_7", "class": "light_pole", "description": "Tall lighting poles along the beach and promenade", "position": "scattered along central horizontal band of image", "orientation": "vertical"}, {"id": "obj_8", "class": "seaweed_or_debris_band", "description": "Dark band of material accumulated along parts of shoreline", "position": "center-right along waterline on sand", "orientation": "following coastline"}]</t>
  </si>
  <si>
    <t>Step 1 – Geolocation &amp; Context: Likely a Mediterranean or subtropical European coastal city (e.g., Spain or similar) based on architecture, palm-lined promenade, and beach layout; confidence medium. No visible people, vehicles, or active use of the beach, and sea state is moderate but typical for a coastal environment. Dark material along shore appears to be seaweed or natural wrack line, which is environmentally normal rather than hazardous in this context. No anomaly or abnormal risk detected in this scene.</t>
  </si>
  <si>
    <t>Mixed/0085.jpg</t>
  </si>
  <si>
    <t>Dashcam view on a rural snowy highway where a car is overtaking or cutting in closely in front of the camera vehicle.</t>
  </si>
  <si>
    <t>[{"id": "obj_1", "class": "car", "description": "Silver/gray car very close to the camera vehicle, partially ahead in the adjacent or same lane on the right side of frame", "position": "front-right of ego vehicle, near center-right of roadway", "orientation": "traveling forward away from camera, slightly angled toward center of lane"}, {"id": "obj_2", "class": "car", "description": "Ego vehicle from whose dashcam the image is taken, following the roadway", "position": "bottom foreground, centered in its lane", "orientation": "traveling forward along the highway"}, {"id": "obj_3", "class": "roadway", "description": "Two-lane rural highway with visible snowbanks on both sides and clear asphalt in the middle", "position": "extends from foreground bottom to horizon center", "orientation": "straight ahead into the distance"}, {"id": "obj_4", "class": "snow/ice", "description": "Snow-covered shoulders and fields bordering both sides of the road", "position": "left and right sides of the road, especially mid to far distance", "orientation": "static environment"}]</t>
  </si>
  <si>
    <t>[{"id": "anom_1", "related_objects": ["obj_1", "obj_2"], "type": "unsafe close proximity between vehicles", "description": "The overtaking or merging car is extremely close to the dashcam vehicle, leaving little following distance on a potentially icy rural highway.", "risk_score_1_to_10": 7, "risk_target": ["drivers"], "region": {"x_center_norm": 0.77, "y_center_norm": 0.54, "width_norm": 0.39, "height_norm": 0.76}, "reasoning": "The silver car occupies a large portion of the right-front field of view, suggesting minimal headway. Given visible snow along the roadside, road conditions may be slippery, and such a short distance at highway speeds increases collision risk if either driver brakes or loses control."}]</t>
  </si>
  <si>
    <t>Likely a cold rural region (possibly Eastern Europe/Russia) inferred from flat snowy landscape and dashcam time stamp style; confidence medium. Main risk is rear-end or side collision due to inadequate spacing during an overtake/merge in winter conditions.</t>
  </si>
  <si>
    <t>Mixed/0105.jpg</t>
  </si>
  <si>
    <t>Quiet narrow street between ornate historic buildings with a cow, bicycle, and gas cylinder near the roadside and no visible motor traffic or pedestrians.</t>
  </si>
  <si>
    <t>[{"id": "obj_1", "class": "building", "description": "Large ornate multi-story pink building with many windows on the left side of the street", "position": "dominates left side and background of scene", "orientation": "faces the street, receding into background"}, {"id": "obj_2", "class": "building", "description": "Ornate corner building with carved balconies and turquoise windows on the right foreground", "position": "right foreground and mid-ground along the bend of the street", "orientation": "corner faces intersection; balconies overhang street"}, {"id": "obj_3", "class": "roadway", "description": "Narrow paved street curving around the right-hand building", "position": "center of image, running from bottom center to upper right background", "orientation": "curves rightward"}, {"id": "obj_4", "class": "cow", "description": "Black and white cow standing near the curb close to a bicycle and gas cylinder", "position": "lower left quadrant, at left edge of roadway near building wall", "orientation": "facing toward camera at slight angle"}, {"id": "obj_5", "class": "bicycle", "description": "Bicycle leaning against a gas cylinder on the sidewalk/road edge", "position": "lower left, adjacent to the cow", "orientation": "angled with front wheel toward camera"}, {"id": "obj_6", "class": "gas cylinder", "description": "Single red gas cylinder placed near edge of roadway beside bicycle", "position": "lower left, next to bicycle and close to cow", "orientation": "upright"}]</t>
  </si>
  <si>
    <t>[{"id": "anom_1", "related_objects": ["obj_4"], "type": "animal_in_roadway", "description": "Cow standing on or immediately adjacent to the narrow roadway where vehicles could pass.", "risk_score_1_to_10": 4, "risk_target": ["drivers", "pedestrians", "cyclists"], "region": {"x_center_norm": 0.18, "y_center_norm": 0.78, "width_norm": 0.15, "height_norm": 0.16}, "reasoning": "The street is designed for vehicular passage; a large animal partially occupying the carriageway can cause collisions or force sudden maneuvers. The street is currently empty, so risk is moderate rather than high but would increase with traffic."}, {"id": "anom_2", "related_objects": ["obj_6", "obj_5"], "type": "obstruction_and_potential_hazardous_cylinder", "description": "Gas cylinder and bicycle positioned at the road edge, slightly encroaching into the travel path.", "risk_score_1_to_10": 3, "risk_target": ["drivers", "pedestrians", "cyclists"], "region": {"x_center_norm": 0.14, "y_center_norm": 0.83, "width_norm": 0.12, "height_norm": 0.18}, "reasoning": "These objects could obstruct movement along the narrow street or sidewalk and present an impact hazard if a vehicle or cyclist passes close. Presence of a gas cylinder also implies flammable material, but there is no sign of active damage or leakage, so risk is mild."}]</t>
  </si>
  <si>
    <t>Architectural style and presence of a freely roaming cow suggest a likely South Asian urban setting (e.g., India) with cultural norms where animals in streets are more common; risk scores are adjusted accordingly and the current absence of moving traffic keeps overall danger at a low-to-moderate level.</t>
  </si>
  <si>
    <t>Mixed/0028.jpg</t>
  </si>
  <si>
    <t>Multi-lane urban road with moving cars and several large potholes filled with water along the right edge of the lane.</t>
  </si>
  <si>
    <t>[{"id": "obj_1", "class": "car", "description": "Green SUV passing in the near lane, close to the camera on the left side.", "position": "foreground left lane, near right edge of that lane", "orientation": "moving from bottom left toward upper right"}, {"id": "obj_2", "class": "car", "description": "Silver SUV in the adjacent lane toward the center of the image.", "position": "mid-ground, center lane", "orientation": "moving from left toward right"}, {"id": "obj_3", "class": "car", "description": "Red car further ahead in the right lane near the background.", "position": "background right lane", "orientation": "moving from left toward right"}, {"id": "obj_4", "class": "roadway", "description": "Asphalt multi-lane road with visible lane markings and shoulder.", "position": "occupies most of the lower and middle part of the image", "orientation": "lanes run roughly left-to-right"}, {"id": "obj_5", "class": "potholes", "description": "Row of several large, water-filled potholes near the right edge of the near lane.", "position": "foreground right side of the road, adjacent to the shoulder", "orientation": "aligned longitudinally along the lane edge"}]</t>
  </si>
  <si>
    <t>[{"id": "anom_1", "related_objects": ["obj_1", "obj_4", "obj_5"], "type": "severe_road_surface_damage", "description": "Multiple large potholes filled with water along the right edge of an active traffic lane, creating a significant hazard for vehicles.", "risk_score_1_to_10": 7, "risk_target": ["drivers", "vehicle_occupants", "motorcyclists", "cyclists"], "region": {"x_center_norm": 0.63, "y_center_norm": 0.72, "width_norm": 0.45, "height_norm": 0.38}, "reasoning": "The potholes are deep and wide enough to be clearly visible and are located directly in the vehicle path near the lane edge; they can cause loss of control, tire or suspension damage, and sudden swerving into adjacent lanes, particularly at the apparent travel speeds. The water obscures their depth, increasing risk."}]</t>
  </si>
  <si>
    <t>Geolocation confidence is low; the setting resembles a temperate North American or European urban/suburban road based on vehicles, lane markings, and vegetation. The main hazard is infrastructure-related rather than behavioral.</t>
  </si>
  <si>
    <t>Mixed/0035.jpg</t>
  </si>
  <si>
    <t>Heavily damaged coastal road with large cracks and buckling pavement adjacent to rocky shoreline and nearby houses.</t>
  </si>
  <si>
    <t>[{"id": "obj_1", "class": "roadway", "description": "Two-lane paved coastal road with yellow centerline running from foreground to background, surface heavily cracked and uneven", "position": "center of image, extending from bottom foreground toward upper right background", "orientation": "aligned roughly from bottom-center toward upper-right"}, {"id": "obj_2", "class": "road_markings", "description": "Solid yellow centerline following the axis of the damaged road", "position": "center of road, extending from bottom-center to upper-right", "orientation": "longitudinal along roadway"}, {"id": "obj_3", "class": "rocks", "description": "Large riprap and stones forming a coastal barrier between road and water", "position": "left side of image, between road and shoreline", "orientation": "linear strip parallel to roadway"}, {"id": "obj_4", "class": "water", "description": "Body of water (likely sea or ocean) adjacent to roadway with small waves", "position": "far left side and upper-left background of image", "orientation": "along coastline parallel to road"}, {"id": "obj_5", "class": "posts", "description": "Row of wooden posts or short poles separating rocks from water", "position": "left-center background, between rocks and water", "orientation": "line of posts running roughly parallel to road"}, {"id": "obj_6", "class": "buildings", "description": "Residential-style houses along the coastline beyond the damaged roadway", "position": "upper-right and upper-center background", "orientation": "facing generally toward the water/road"}]</t>
  </si>
  <si>
    <t>[{"id": "anom_1", "related_objects": ["obj_1", "obj_2"], "type": "severely_damaged_roadway", "description": "The roadway surface is extensively cracked, buckled, and vertically displaced, making it unsafe or impassable for normal vehicle traffic.", "risk_score_1_to_10": 9, "risk_target": ["drivers", "pedestrians", "cyclists"], "region": {"x_center_norm": 0.53, "y_center_norm": 0.58, "width_norm": 0.86, "height_norm": 0.73}, "reasoning": "Large, deep cracks and uplifted slabs across the lane indicate structural failure. Any vehicle, cyclist, or pedestrian using this road could lose control, trip, or suffer damage or injury. This type of failure on what appears to be a normally driven coastal road represents a severe safety hazard."}, {"id": "anom_2", "related_objects": ["obj_1", "obj_4"], "type": "coastal_infrastructure_erosion_risk", "description": "Roadway is directly adjacent to the shoreline with evidence of damage consistent with coastal erosion or storm surge, suggesting ongoing instability and potential for further collapse.", "risk_score_1_to_10": 7, "risk_target": ["drivers", "pedestrians", "cyclists", "nearby_residents"], "region": {"x_center_norm": 0.37, "y_center_norm": 0.44, "width_norm": 0.74, "height_norm": 0.6}, "reasoning": "The close proximity of the damaged pavement to the rocky shore and water, combined with extensive cracking parallel and perpendicular to the coastline, implies the subgrade may be undermined by waves or storm action. Even if temporarily unused, further collapse could endanger anyone nearby and threaten access for residents."}]</t>
  </si>
  <si>
    <t>Likely a temperate coastal region, possibly North America or northern Europe, inferred from housing style, road markings, and rocky shoreline. No people or vehicles are visible at the moment, but the road’s condition would pose extreme danger if not closed to traffic.</t>
  </si>
  <si>
    <t>Mixed/0098.png</t>
  </si>
  <si>
    <t>Urban sidewalk next to a residential street with a parked car, crosswalk, traffic signs, and a partially obstructed walking path due to a pole and construction debris.</t>
  </si>
  <si>
    <t>[{"id": "obj_1", "class": "sidewalk", "description": "Paved pedestrian sidewalk extending from foreground to mid-ground toward street intersection", "position": "occupies most of lower and central part of image", "orientation": "aligned roughly bottom-to-top"}, {"id": "obj_2", "class": "car", "description": "Gray sedan parked along the curb on the far side of the street", "position": "mid-right of image adjacent to roadway", "orientation": "parallel to curb, facing left"}, {"id": "obj_3", "class": "traffic_sign", "description": "Pedestrian crossing sign mounted above a red-bordered sign on a pole next to the crosswalk", "position": "left-central near street edge", "orientation": "facing toward camera"}, {"id": "obj_4", "class": "crosswalk", "description": "Marked zebra pedestrian crossing across the street", "position": "left side of image extending from sidewalk over road", "orientation": "perpendicular to roadway"}, {"id": "obj_5", "class": "construction_debris", "description": "Piles of sand or rubble around the base of a pole on the sidewalk near the curb", "position": "center of image near transition from sidewalk to street", "orientation": "n/a"}, {"id": "obj_6", "class": "pole", "description": "Metal pole with no clear sign, placed within sidewalk path near curb", "position": "center of image at end of sidewalk before street", "orientation": "vertical"}, {"id": "obj_7", "class": "bollard", "description": "Short striped post at corner of raised planting bed on sidewalk edge", "position": "right foreground", "orientation": "vertical"}, {"id": "obj_8", "class": "planter_bed", "description": "Raised planting area with red mulch and vegetation along right edge of sidewalk", "position": "right side of image", "orientation": "parallel to sidewalk"}, {"id": "obj_9", "class": "building", "description": "Multi-story residential building with balconies and air conditioning units", "position": "background center", "orientation": "façade facing camera"}]</t>
  </si>
  <si>
    <t>[{"id": "anom_1", "related_objects": ["obj_5", "obj_6", "obj_1"], "type": "sidewalk_obstruction_and_surface_hazard", "description": "Construction debris and a pole placed in the middle of the sidewalk path near the curb create an uneven surface and narrow passage for pedestrians, particularly problematic near a crosswalk.", "risk_score_1_to_10": 6, "risk_target": ["pedestrians"], "region": {"x_center_norm": 0.52, "y_center_norm": 0.48, "width_norm": 0.25, "height_norm": 0.2}, "reasoning": "The sand or rubble around the base of the pole appears loose and raised relative to the flat pavers, which can cause tripping or slipping, especially for elderly people, children, or users with strollers or wheelchairs. The pole itself significantly narrows the sidewalk just before the street crossing, forcing pedestrians to maneuver around it close to the road."}]</t>
  </si>
  <si>
    <t>Geolocation inference: likely Mediterranean urban area (possibly Southern Europe or Middle East) based on vegetation, building style, and signage; confidence medium. Risk is localized to pedestrian path near the crosswalk; vehicular environment appears orderly.</t>
  </si>
  <si>
    <t>Mixed/0076.png</t>
  </si>
  <si>
    <t>Overcast coastal urban beach with strong waves, empty shoreline, and adjacent promenade and buildings.</t>
  </si>
  <si>
    <t>[{"id": "obj_1", "class": "sea", "description": "Rough sea with whitecaps and strong waves on the right side of the image", "position": "right half of scene, bordering the beach", "orientation": "waves approaching roughly perpendicular to shore"}, {"id": "obj_2", "class": "beach", "description": "Wide sandy beach with some dark rocky or seaweed patches, mostly empty", "position": "middle horizontal band from center to right", "orientation": "parallel to shoreline"}, {"id": "obj_3", "class": "lifeguard_tower", "description": "Small elevated lifeguard tower on the sand near the waterline", "position": "left-central beach area", "orientation": "facing sea"}, {"id": "obj_4", "class": "lifeguard_tower", "description": "Another lifeguard tower further right on the beach", "position": "right-central beach zone near shoreline", "orientation": "facing sea"}, {"id": "obj_5", "class": "buildings", "description": "Multi-story residential or hotel buildings lining the coast", "position": "left side and upper-left background", "orientation": "aligned along coastline"}, {"id": "obj_6", "class": "promenade", "description": "Tree-lined pedestrian promenade or park strip between buildings and beach", "position": "lower half of scene from left to right", "orientation": "parallel to shoreline"}, {"id": "obj_7", "class": "vegetation", "description": "Palm trees and other greenery along promenade and near buildings", "position": "lower half of image, especially center and right", "orientation": "vertical"}, {"id": "obj_8", "class": "person", "description": "Single person walking or standing on the beach near the waterline", "position": "center of image on sand close to sea", "orientation": "facing roughly toward sea"}]</t>
  </si>
  <si>
    <t>[{"id": "anom_1", "related_objects": ["obj_1", "obj_2", "obj_8"], "type": "lone_person_near_rough_sea", "description": "A lone person is on the beach close to the shoreline while the sea appears rough with strong waves; potential risk of being caught by waves or entering unsafe water.", "risk_score_1_to_10": 4, "risk_target": ["pedestrians"], "region": {"x_center_norm": 0.45, "y_center_norm": 0.46, "width_norm": 0.25, "height_norm": 0.25}, "reasoning": "The sea shows significant whitecaps and wave action indicative of rough conditions. The beach is otherwise empty, suggesting off-peak or potentially unsafe conditions. The person is relatively near the wet sand zone where waves break; even if not in the water, unexpected larger waves or currents could pose a moderate hazard, though there is no immediate evidence of imminent danger."}]</t>
  </si>
  <si>
    <t>Likely Mediterranean urban coastal setting (medium-confidence) inferred from architecture, palm-lined promenade, and beach style. No evident storm surge or flooding, but sea conditions look unsuitable for casual swimming.</t>
  </si>
  <si>
    <t>Mixed/0102.png</t>
  </si>
  <si>
    <t>Quiet urban residential sidewalk alongside parked cars and low-rise apartment buildings, with trees and garden walls.</t>
  </si>
  <si>
    <t>[{"id": "obj_1", "class": "sidewalk", "description": "Brick-paved pedestrian sidewalk running from foreground to background along right side of street", "position": "bottom center to mid-center of image", "orientation": "extends away from camera toward background"}, {"id": "obj_2", "class": "parked_cars", "description": "Row of white and dark-colored cars parked parallel along street beside curb", "position": "left side from foreground to background", "orientation": "aligned with street direction, facing away from camera"}, {"id": "obj_3", "class": "building", "description": "Light-colored multi-story residential building with balconies and windows adjacent to sidewalk", "position": "right side of image", "orientation": "facade parallel to sidewalk"}, {"id": "obj_4", "class": "fence", "description": "Black metal gate and fence bordering ground-floor property", "position": "right foreground", "orientation": "perpendicular then parallel to sidewalk"}, {"id": "obj_5", "class": "trash_bin", "description": "Green trash bin located just inside fenced property near wall by sidewalk", "position": "right mid-foreground", "orientation": "front facing camera"}, {"id": "obj_6", "class": "vegetation", "description": "Trees and shrubs lining sidewalk and within property, including large tree overhanging walkway", "position": "upper center and right side", "orientation": "vertical growth; branches overhanging sidewalk"}, {"id": "obj_7", "class": "street", "description": "Narrow urban street adjacent to sidewalk with lane markings", "position": "left of sidewalk, middle-left of image", "orientation": "extends away from camera toward background"}, {"id": "obj_8", "class": "pedestrian", "description": "Single distant person walking along sidewalk wearing purple clothing", "position": "center background on sidewalk", "orientation": "facing away from camera, walking further down sidewalk"}]</t>
  </si>
  <si>
    <t>Step 1 – Likely a Mediterranean or Middle Eastern urban residential area based on vegetation, architecture, and parked cars; confidence low to medium. Step 2 – Sidewalk/pedestrian zone adjacent to residential street. Step 5 – No visible obstructions on the walkway, no vehicles encroaching on sidewalk, and no immediate hazards such as construction, exposed utilities, or traffic conflicts; scene appears typical and orderly for this context.</t>
  </si>
  <si>
    <t>Mixed/0056.png</t>
  </si>
  <si>
    <t>Urban sidewalk with cars parked along the left side and raised planting beds on the right, forming a narrow pedestrian passage.</t>
  </si>
  <si>
    <t>[{"id": "obj_1", "class": "car", "description": "Gray car parked very close to the sidewalk edge on the left foreground, partially overhanging the paved walkway.", "position": "left foreground along curb, encroaching sidewalk space", "orientation": "aligned parallel to sidewalk facing away from camera"}, {"id": "obj_2", "class": "car", "description": "White car parked behind the gray car along the left side of the sidewalk.", "position": "left mid-ground along curb", "orientation": "parallel to sidewalk"}, {"id": "obj_3", "class": "car", "description": "Additional cars forming a line further down the left side of the street.", "position": "left background along curb", "orientation": "parallel to sidewalk"}, {"id": "obj_4", "class": "sidewalk", "description": "Narrow paved pedestrian walkway running through the center of the image between parked cars and raised planting beds.", "position": "center of scene", "orientation": "extends from foreground to background"}, {"id": "obj_5", "class": "planter/raised bed", "description": "Raised brick planting bed on the right with shrubs, creating a physical barrier at sidewalk edge.", "position": "right side from foreground to mid-ground", "orientation": "parallel to sidewalk"}, {"id": "obj_6", "class": "vegetation", "description": "Bushes and small plants in the raised beds along the right side.", "position": "right side, overhanging sidewalk slightly in places", "orientation": "over sidewalk edge"}, {"id": "obj_7", "class": "utility_pole", "description": "Vertical pole placed near the centerline of the sidewalk in the mid-ground.", "position": "center mid-ground within pedestrian path", "orientation": "vertical"}, {"id": "obj_8", "class": "building", "description": "Multi-story residential or mixed-use buildings lining the street on both sides.", "position": "both sides, background", "orientation": "facing street"}]</t>
  </si>
  <si>
    <t>[{"id": "anom_1", "related_objects": ["obj_1", "obj_2", "obj_3", "obj_4"], "type": "sidewalk obstruction by parked vehicles", "description": "Parked cars on the left side encroach into the sidewalk area, substantially narrowing the usable pedestrian space between vehicles and raised planters.", "risk_score_1_to_10": 5, "risk_target": ["pedestrians"], "region": {"x_center_norm": 0.2, "y_center_norm": 0.55, "width_norm": 0.4, "height_norm": 0.9}, "reasoning": "The gray car in the foreground and others behind it appear to be parked so close to the sidewalk that very little clearance remains for pedestrians. Combined with the fixed planter walls on the right, this may force pedestrians to walk single-file or step off the curb into the roadway, increasing collision or trip risk, especially for people with strollers, wheelchairs, or mobility issues."}, {"id": "anom_2", "related_objects": ["obj_4", "obj_5", "obj_6", "obj_7"], "type": "narrow, cluttered pedestrian corridor", "description": "The sidewalk is constricted by raised planters, vegetation, and a utility pole placed within the walking path, reducing maneuvering space.", "risk_score_1_to_10": 4, "risk_target": ["pedestrians"], "region": {"x_center_norm": 0.55, "y_center_norm": 0.55, "width_norm": 0.5, "height_norm": 0.9}, "reasoning": "Raised brick beds and bushes on the right, combined with a centrally located pole, form multiple fixed obstacles within an already narrow sidewalk. This creates trip and collision hazards and may make the corridor non-navigable for wheelchairs or large strollers, particularly at pinch points around the pole."}]</t>
  </si>
  <si>
    <t>Risks are primarily related to pedestrian accessibility and minor collision/trip hazards rather than immediate life-threatening danger. No active traffic or pedestrians are visible in this frame, but design and parking patterns create a moderately hazardous environment for pedestrian movement.</t>
  </si>
  <si>
    <t>Mixed/0053.jpg</t>
  </si>
  <si>
    <t>Rural two-lane road with police officers and stopped vehicles while a large alligator crosses the roadway.</t>
  </si>
  <si>
    <t>[{"id": "obj_1", "class": "alligator", "description": "Large alligator stretched across both lanes of the road, body over the double yellow center lines", "position": "center of roadway, spanning from left lane to right lane on the foreground", "orientation": "moving from right side of the road toward the left side"}, {"id": "obj_2", "class": "police_officer", "description": "Uniformed officer standing on left side of road near shoulder observing the alligator", "position": "left roadside, just beyond the alligator", "orientation": "facing toward the alligator and camera"}, {"id": "obj_3", "class": "police_officer", "description": "Uniformed officer standing on right side of road near shoulder observing the alligator", "position": "right roadside, just beyond the alligator", "orientation": "facing toward the alligator and slightly toward the camera"}, {"id": "obj_4", "class": "car", "description": "Light-colored sedan stopped in the left lane, facing toward the camera", "position": "background, left lane behind the alligator and officers", "orientation": "facing forward toward the camera"}, {"id": "obj_5", "class": "car", "description": "Red vehicle stopped on right roadside shoulder behind the nearest officer", "position": "background, right roadside shoulder", "orientation": "facing toward the camera"}, {"id": "obj_6", "class": "car", "description": "Dark-colored vehicle partially visible further back on the right shoulder or lane", "position": "far background, right side of roadway", "orientation": "facing toward the camera"}, {"id": "obj_7", "class": "roadway", "description": "Two-lane rural road with solid double yellow center lines and gentle curves, bordered by vegetation", "position": "extending from foreground bottom center into the distance", "orientation": "aligned roughly from bottom center toward upper center"}, {"id": "obj_8", "class": "vegetation", "description": "Trees and green roadside vegetation on both sides of the road", "position": "left and right edges of the frame", "orientation": "lining the roadway"}]</t>
  </si>
  <si>
    <t>[{"id": "anom_1", "related_objects": ["obj_1", "obj_2", "obj_3", "obj_4", "obj_5"], "type": "large_wild_animal_on_roadway", "description": "A very large alligator is actively crossing and blocking both lanes of a public road, creating a collision and animal-attack hazard.", "risk_score_1_to_10": 7, "risk_target": ["drivers", "pedestrians"], "region": {"x_center_norm": 0.47, "y_center_norm": 0.63, "width_norm": 0.72, "height_norm": 0.37}, "reasoning": "The alligator fully occupies the travel lanes, requiring vehicles to stop. If an approaching driver does not see it in time, a collision could occur, which is dangerous for occupants and the animal. Additionally, the animal poses a direct physical threat to any nearby pedestrians. The presence of officers and stopped cars indicates the situation is being managed, reducing but not eliminating risk."}]</t>
  </si>
  <si>
    <t>Geolocation/context: medium-confidence guess of a rural area in the southeastern United States due to the presence of an alligator, style of police uniforms and vehicles, and two-lane forested road. Officers appear to be controlling traffic, which mitigates immediate danger but the scenario remains a significant hazard until the animal clears the roadway.</t>
  </si>
  <si>
    <t>Mixed/0034.jpg</t>
  </si>
  <si>
    <t>Rural or interurban two-lane road with severe surface cracking and partial collapse, creating a major hazard for vehicles.</t>
  </si>
  <si>
    <t>[{"id": "obj_1", "class": "roadway", "description": "Two-lane asphalt road with double white centerline and metal guardrails on both sides", "position": "extends from foreground bottom center toward upper part of the image", "orientation": "aligned roughly bottom-center to upper-right perspective"}, {"id": "obj_2", "class": "guardrail", "description": "Metal guardrail lining left edge of the roadway", "position": "left side of road from foreground to background", "orientation": "parallel to roadway"}, {"id": "obj_3", "class": "guardrail", "description": "Metal guardrail lining right edge of the roadway", "position": "right side of road in background and midground", "orientation": "parallel to roadway"}, {"id": "obj_4", "class": "road_damage", "description": "Large longitudinal and transverse cracks and subsidence in the asphalt surface, including a major break where the road drops several tens of centimeters", "position": "across the center of the lane area from mid-foreground to mid-background", "orientation": "cracks roughly diagonal and perpendicular to road direction"}, {"id": "obj_5", "class": "environment", "description": "Surrounding hilly/forested rural landscape", "position": "background beyond the road", "orientation": "surrounding terrain"}]</t>
  </si>
  <si>
    <t>[{"id": "anom_1", "related_objects": ["obj_1", "obj_4"], "type": "severe_road_surface_failure", "description": "The roadway is heavily cracked and partially collapsed, with significant vertical displacement and large gaps that make it impassable or extremely dangerous for vehicles.", "risk_score_1_to_10": 10, "risk_target": ["drivers", "vehicle_occupants", "motorcyclists", "cyclists"], "region": {"x_center_norm": 0.5, "y_center_norm": 0.45, "width_norm": 0.95, "height_norm": 0.5}, "reasoning": "The asphalt surface shows deep, wide cracks and a major step where the pavement has dropped or separated, leaving irregular edges and voids. A vehicle approaching at normal speed could lose control, become stuck, or plunge over the broken edge, which constitutes an imminent, life-threatening hazard in a traffic environment; no cones or warning signs are visible."}]</t>
  </si>
  <si>
    <t>Location context is low-confidence; generic rural or interurban road with standard white lines and metal guardrails. Regardless of region, this level of structural road failure represents an extreme hazard if the road is open to traffic.</t>
  </si>
  <si>
    <t>Mixed/0018.jpg</t>
  </si>
  <si>
    <t>Close-up of a sidewalk or utility cover next to a road, with an uncovered circular hole and a coin or round object on its rim.</t>
  </si>
  <si>
    <t>[{"id": "obj_1", "class": "sidewalk", "description": "Paved pedestrian surface with patterned tiles and embedded utility cover near the bottom of the frame", "position": "bottom and lower-left portion of the scene adjacent to the roadway", "orientation": "horizontal plane"}, {"id": "obj_2", "class": "road", "description": "Asphalt road surface extending into the background", "position": "upper half of the image, parallel to the sidewalk", "orientation": "horizontal, receding into distance"}, {"id": "obj_3", "class": "open_manhole_or_utility_hole", "description": "Circular open hole within a utility cover on the sidewalk", "position": "lower-center of the image on the sidewalk", "orientation": "vertical opening in the ground"}, {"id": "obj_4", "class": "small_object", "description": "Coin or similar small round metal object resting on the rim of the open hole", "position": "on the rim of the open hole near its top edge", "orientation": "tilted upright on edge"}]</t>
  </si>
  <si>
    <t>[{"id": "anom_1", "related_objects": ["obj_1", "obj_3"], "type": "open_hole_in_pedestrian_area", "description": "Uncovered circular utility hole on the sidewalk that presents a tripping and fall hazard for pedestrians.", "risk_score_1_to_10": 7, "risk_target": ["pedestrians"], "region": {"x_center_norm": 0.32, "y_center_norm": 0.7, "width_norm": 0.45, "height_norm": 0.45}, "reasoning": "The hole is large enough for a foot or leg to enter and is located directly on a pedestrian surface adjacent to a road. There is no visible barrier, cover, or warning signage. A pedestrian might not notice it in low light or if distracted, leading to serious injury from tripping or falling."}]</t>
  </si>
  <si>
    <t>Geolocation is uncertain; the paving and road design could fit many urban areas worldwide. Risk score assumes normal pedestrian volumes and no additional barriers beyond what is visible in the frame.</t>
  </si>
  <si>
    <t>Mixed/0052.jpg</t>
  </si>
  <si>
    <t>Alligator lying on the shoulder of a paved road beside a grassy verge and guardrail.</t>
  </si>
  <si>
    <t>[{"id": "obj_1", "class": "animal", "description": "Large alligator or crocodilian lying lengthwise along the road shoulder near the grass edge", "position": "right side shoulder of the roadway adjacent to the white edge line and grass", "orientation": "body parallel to roadway, head facing toward right edge of frame"}, {"id": "obj_2", "class": "road", "description": "Paved roadway with white dashed edge line", "position": "bottom and left portions of image", "orientation": "extends horizontally across frame"}, {"id": "obj_3", "class": "guardrail", "description": "Metal roadside guardrail above grassy verge", "position": "upper right side of image along road edge", "orientation": "runs horizontally across upper part of frame"}, {"id": "obj_4", "class": "vegetation", "description": "Strip of grass between road shoulder and guardrail", "position": "middle to upper band of image", "orientation": "parallel to road"}]</t>
  </si>
  <si>
    <t>[{"id": "anom_1", "related_objects": ["obj_1", "obj_2"], "type": "large_animal_on_roadway_shoulder", "description": "A large alligator is present on the shoulder of the road very close to the traffic lane, posing collision and animal-attack risk if alive.", "risk_score_1_to_10": 8, "risk_target": ["drivers", "pedestrians"], "region": {"x_center_norm": 0.58, "y_center_norm": 0.59, "width_norm": 0.71, "height_norm": 0.46}, "reasoning": "The animal occupies much of the shoulder directly beside the travel lane; drivers may swerve suddenly to avoid it or collide with it, and if the animal is alive it could move into traffic or threaten anyone who exits a vehicle. Even if deceased, it is an unexpected obstruction that can startle drivers and affect maneuvering."}]</t>
  </si>
  <si>
    <t>Likely in a region where alligators are native (e.g., southeastern United States), but regardless of location a large reptile on a road shoulder is a significant safety hazard.</t>
  </si>
  <si>
    <t>Mixed/0067.jpg</t>
  </si>
  <si>
    <t>Rural paved road in open grassland with a dead or injured snake lying on the roadway and grazing cattle in the background.</t>
  </si>
  <si>
    <t>[{"id": "obj_1", "class": "road", "description": "Paved two-lane rural road surface occupying the right half of the image", "position": "right side of scene, extending from foreground to background", "orientation": "aligned roughly vertically in the image as shown"}, {"id": "obj_2", "class": "snake", "description": "Light-colored, speckled snake lying coiled and extended on the road surface; appears dead or severely injured", "position": "lower-right quadrant of the road in the foreground", "orientation": "body twisted with head and part of body raised slightly"}, {"id": "obj_3", "class": "cattle", "description": "Small group of cows grazing on green grassland", "position": "left-central background on the grassy hillside", "orientation": "standing, generally facing various directions"}, {"id": "obj_4", "class": "grassland", "description": "Extensive green grassy hillside with some fencing", "position": "left half of the image", "orientation": "sloping upward from road edge"}]</t>
  </si>
  <si>
    <t>[{"id": "anom_1", "related_objects": ["obj_2", "obj_1"], "type": "animal on roadway", "description": "A snake is lying on the traveled portion of the paved road, which is abnormal and may pose a hazard if alive or cause drivers to swerve unexpectedly.", "risk_score_1_to_10": 4, "risk_target": ["drivers", "pedestrians", "cyclists"], "region": {"x_center_norm": 0.77, "y_center_norm": 0.54, "width_norm": 0.18, "height_norm": 0.32}, "reasoning": "The snake is clearly on the traffic surface rather than on the shoulder or grass. In a rural road context, animals occasionally appear but are still a safety concern. Drivers may not notice it until close, may attempt to avoid it and overcorrect, or if the snake is alive it could present a bite risk to pedestrians or cyclists. The road appears otherwise empty, so risk is moderate rather than high."}]</t>
  </si>
  <si>
    <t>Assumed rural setting in a temperate grassland region; specific country cannot be inferred with confidence. Primary risk is localized and limited to road users passing this spot.</t>
  </si>
  <si>
    <t>Mixed/0058.png</t>
  </si>
  <si>
    <t>Sunny urban sidewalk with cars parked along the street, a utility pole, low wall with vegetation, and an exposed cable lying across the pedestrian path.</t>
  </si>
  <si>
    <t>[{"id": "obj_1", "class": "sidewalk", "description": "Paved pedestrian sidewalk extending from bottom foreground into upper left of image", "position": "covers most of left and lower portions of scene", "orientation": "aligned roughly from bottom center toward upper left"}, {"id": "obj_2", "class": "car", "description": "White car parked along curb beside the sidewalk", "position": "upper left quadrant of image, adjacent to sidewalk", "orientation": "parked parallel to curb, facing away from camera"}, {"id": "obj_3", "class": "utility_pole", "description": "Metal utility pole with attached control box and red fixture", "position": "center of image on the edge of the sidewalk near low wall", "orientation": "vertical"}, {"id": "obj_4", "class": "cable", "description": "Loose cable or hose lying across and along the sidewalk surface", "position": "left side of sidewalk, extending from mid-left toward upper left", "orientation": "curved, partially transverse to pedestrian path"}, {"id": "obj_5", "class": "vegetation", "description": "Palm fronds and shrubs beside the sidewalk and behind low wall", "position": "right and center-right of image", "orientation": "growing from soil area next to pavement"}, {"id": "obj_6", "class": "wall", "description": "Low stone or concrete wall separating sidewalk from grassy area", "position": "right-center, running roughly horizontally", "orientation": "parallel to street"}]</t>
  </si>
  <si>
    <t>[{"id": "anom_1", "related_objects": ["obj_1", "obj_4"], "type": "trip_hazard_on_sidewalk", "description": "A loose cable or hose is lying across the walking path on the sidewalk, creating a potential trip hazard for pedestrians and possible obstruction for strollers or wheelchairs.", "risk_score_1_to_10": 5, "risk_target": ["pedestrians"], "region": {"x_center_norm": 0.18, "y_center_norm": 0.36, "width_norm": 0.32, "height_norm": 0.23}, "reasoning": "On an urban sidewalk, pedestrians expect a clear, level path. The visible cable lies partially across the walking line; its color blends with the pavement and it slightly lifts off the ground in places, increasing the chance of someone catching a foot or wheel on it. This presents a moderate but not extreme risk in normal daytime visibility."}]</t>
  </si>
  <si>
    <t>Geolocation confidence is low; license plates and vegetation suggest a warm-climate urban area, possibly Mediterranean. Scene type: sidewalk in mixed urban/roadside environment.</t>
  </si>
  <si>
    <t>Mixed/0029.jpg</t>
  </si>
  <si>
    <t>Mountain or desert road with significant surface cracking in a dry, rocky landscape and no visible traffic.</t>
  </si>
  <si>
    <t>[{"id": "obj_1", "class": "roadway", "description": "Two-lane paved road with center dashed white line, extending from foreground toward background", "position": "occupies most of the frame center from bottom to mid-top", "orientation": "aligned roughly from bottom center toward upper center"}, {"id": "obj_2", "class": "road_surface_damage", "description": "Network of cracks and broken asphalt on the central portion of the road", "position": "center of the lane area in the lower and middle part of the image", "orientation": "irregular web-like cracking radiating outward"}, {"id": "obj_3", "class": "rocky_terrain", "description": "Rocky slopes and embankments alongside the road", "position": "left and right edges of the frame", "orientation": "sloping downward from higher elevations beside the road"}]</t>
  </si>
  <si>
    <t>[{"id": "anom_1", "related_objects": ["obj_1", "obj_2"], "type": "road_surface_deterioration", "description": "Extensive cracking and degradation of the road surface in the travel lane, which could reduce tire grip and stability, especially at speed or for two-wheeled vehicles.", "risk_score_1_to_10": 5, "risk_target": ["drivers", "motorcyclists", "cyclists"], "region": {"x_center_norm": 0.5, "y_center_norm": 0.55, "width_norm": 0.7, "height_norm": 0.6}, "reasoning": "The visible pavement shows a dense pattern of cracks and broken segments along the central driving path. While it appears passable for normal cars in dry conditions, the unevenness can cause loss of control for motorcycles or bicycles and can affect braking and handling, especially on a downhill or curved mountain road."}]</t>
  </si>
  <si>
    <t>Likely a dry, mountainous or desert region, possibly in a southern European or similar arid environment; confidence is low due to lack of signage or vehicles. Main concern is maintenance-related rather than immediate collision risk.</t>
  </si>
  <si>
    <t>Mixed/0033.jpg</t>
  </si>
  <si>
    <t>Rural or semi-rural paved road with multiple potholes along the lane marking and forested surroundings.</t>
  </si>
  <si>
    <t>[{"id": "obj_1", "class": "roadway", "description": "Two-lane paved road surface extending into the distance", "position": "occupies most of the frame, foreground to background center", "orientation": "aligned from bottom center toward upper left background"}, {"id": "obj_2", "class": "lane_marking", "description": "White painted edge or center line running along the damaged portion of the road", "position": "starting near bottom center-left running toward upper left", "orientation": "diagonal from bottom center-left toward upper left"}, {"id": "obj_3", "class": "pothole", "description": "Large irregular pothole with exposed gravel in the asphalt near the lane marking", "position": "foreground, slightly right of center of image, straddling the white line", "orientation": "n/a"}, {"id": "obj_4", "class": "pothole", "description": "Smaller adjacent potholes and broken asphalt areas clustered around the main pothole", "position": "foreground, center-left near the white line", "orientation": "n/a"}, {"id": "obj_5", "class": "vegetation", "description": "Grass and bushes along road edges with dense trees or forest beyond", "position": "both sides of the road, more visible on right and upper background", "orientation": "bordering the roadway"}]</t>
  </si>
  <si>
    <t>[{"id": "anom_1", "related_objects": ["obj_1", "obj_2", "obj_3", "obj_4"], "type": "road_surface_damage_potholes", "description": "Multiple sizeable potholes and broken asphalt directly in the expected wheel path near the lane marking, creating an uneven and hazardous driving surface.", "risk_score_1_to_10": 7, "risk_target": ["drivers", "motorcyclists", "cyclists"], "region": {"x_center_norm": 0.52, "y_center_norm": 0.63, "width_norm": 0.45, "height_norm": 0.35}, "reasoning": "The potholes are deep and wide enough to expose sub-base material and occupy a significant part of the lane where vehicle wheels travel. At speed, this can cause loss of control, tire or suspension damage, and is especially dangerous for motorcycles and bicycles. The rural context suggests vehicles may travel at moderate to high speeds and may not anticipate such severe localized damage."}]</t>
  </si>
  <si>
    <t>Location context is low-confidence; vegetation and road style suggest a temperate rural region, but exact country or side-of-road driving cannot be determined from this frame alone.</t>
  </si>
  <si>
    <t>Mixed/0039.jpg</t>
  </si>
  <si>
    <t>Rural two-lane paved road with extensive potholes and surface degradation, surrounded by dry grassland.</t>
  </si>
  <si>
    <t>[{"id": "obj_1", "class": "roadway", "description": "Straight two-lane paved road extending into the distance with visible surface damage", "position": "center of image, running from bottom foreground to top center background", "orientation": "aligned roughly vertically in the image, receding away from the viewer"}, {"id": "obj_2", "class": "potholes", "description": "Multiple large and medium-sized potholes and eroded asphalt patches along the lane center and right side", "position": "central and right portions of the road surface from foreground to mid-distance", "orientation": "irregular patches oriented with road alignment"}, {"id": "obj_3", "class": "road shoulder", "description": "Unpaved, sandy or dirt shoulders with dry grasses", "position": "left and right edges of the road", "orientation": "parallel to road"}, {"id": "obj_4", "class": "vegetation", "description": "Dry grassland and scattered trees in a flat landscape", "position": "both sides of the roadway extending to horizon", "orientation": "surrounding terrain"}]</t>
  </si>
  <si>
    <t>[{"id": "anom_1", "related_objects": ["obj_1", "obj_2"], "type": "severely damaged road surface", "description": "Extensive large potholes and degraded asphalt on a rural through-road, which can destabilize vehicles, cause loss of control, or damage tires and suspensions.", "risk_score_1_to_10": 7, "risk_target": ["drivers", "motorcyclists", "cyclists"], "region": {"x_center_norm": 0.5, "y_center_norm": 0.55, "width_norm": 0.7, "height_norm": 0.6}, "reasoning": "Multiple large, deep-looking potholes occupy significant portions of the lane, particularly in the near and mid-foreground where vehicles would travel at speed on an apparently open rural road. Swerving to avoid them could lead drivers onto loose shoulders; hitting them could cause crashes, especially for two-wheeled vehicles. The isolation and straight, fast road context increases the hazard."}]</t>
  </si>
  <si>
    <t>No traffic control or warning signage for the damaged pavement is visible; scene appears rural with likely higher travel speeds, heightening crash risk from potholes.</t>
  </si>
  <si>
    <t>Mixed/0096.png</t>
  </si>
  <si>
    <t>Urban sidewalk along a relatively empty street with pedestrians ahead and temporary concrete blocks narrowing the walking area near a storefront.</t>
  </si>
  <si>
    <t>[{"id": "obj_1", "class": "sidewalk", "description": "Paved brick sidewalk running from foreground to background along the left side of the image", "position": "occupies lower and central-left portion of scene parallel to the road", "orientation": "aligned with street direction, receding into distance"}, {"id": "obj_2", "class": "road", "description": "Two-lane asphalt road with red-white painted curb beside the sidewalk", "position": "left side of image parallel to sidewalk", "orientation": "receding into distance from bottom-left to top-center"}, {"id": "obj_3", "class": "pedestrian", "description": "Adult standing or walking away from camera on the sidewalk near a pole", "position": "mid-background center-left on sidewalk", "orientation": "facing away from camera, aligned with sidewalk"}, {"id": "obj_4", "class": "pedestrian", "description": "Second adult further ahead on sidewalk near storefront area", "position": "upper-center of image on sidewalk", "orientation": "facing away from camera"}, {"id": "obj_5", "class": "concrete_block", "description": "Rectangular concrete blocks forming a raised platform edge to the right of the sidewalk", "position": "right side midground forming boundary between sidewalk and raised area", "orientation": "edge runs parallel to sidewalk"}, {"id": "obj_6", "class": "concrete_block", "description": "Stacked cinder blocks placed on the sidewalk near storefront with a wooden pole and blue awning above", "position": "right-center of image partially intruding into sidewalk space", "orientation": "aligned roughly square to sidewalk edges"}, {"id": "obj_7", "class": "storefront", "description": "Glass-fronted commercial building with blue awning and signage in non-Latin script", "position": "right side background along sidewalk", "orientation": "front facing sidewalk"}, {"id": "obj_8", "class": "traffic_sign", "description": "Blue and red circular no-parking or restriction sign on pole by the road", "position": "mid-background slightly left of center adjacent to curb", "orientation": "sign face toward approaching traffic"}, {"id": "obj_9", "class": "tree", "description": "Medium-height tree planted in small pit on sidewalk near pedestrians", "position": "mid-background center-right next to sidewalk", "orientation": "vertical"}, {"id": "obj_10", "class": "raised_platform", "description": "Higher concrete surface to the right of the sidewalk with a sharp drop to sidewalk level", "position": "lower-right foreground extending to mid-right", "orientation": "edge parallel to sidewalk"}]</t>
  </si>
  <si>
    <t>[{"id": "anom_1", "related_objects": ["obj_6"], "type": "sidewalk_obstruction", "description": "Stacked cinder blocks and a support pole partially obstruct the sidewalk, narrowing the pedestrian path near the storefront.", "risk_score_1_to_10": 4, "risk_target": ["pedestrians"], "region": {"x_center_norm": 0.72, "y_center_norm": 0.47, "width_norm": 0.25, "height_norm": 0.3}, "reasoning": "The blocks are placed on the walking surface, reducing usable width and creating a solid obstacle that may not be anticipated by pedestrians, especially those with visual or mobility impairments. However, the remaining path appears passable and traffic levels are low, so risk is moderate rather than severe."}, {"id": "anom_2", "related_objects": ["obj_10"], "type": "trip_or_fall_hazard", "description": "A sharp edge between the higher concrete platform and the lower sidewalk forms an unprotected drop-off immediately adjacent to the walking path.", "risk_score_1_to_10": 3, "risk_target": ["pedestrians"], "region": {"x_center_norm": 0.8, "y_center_norm": 0.65, "width_norm": 0.4, "height_norm": 0.35}, "reasoning": "The height difference is enough to cause a trip or minor fall if a pedestrian steps off the edge inadvertently. There is no guardrail or visual barrier. Nonetheless, it is a typical urban feature and clearly visible in daylight, so risk is mild."}]</t>
  </si>
  <si>
    <t>Geolocation confidence: medium. The signage and urban style suggest a Middle Eastern or Mediterranean city; exact country is uncertain. Scene is generally calm with light pedestrian presence and no immediate vehicle conflict.</t>
  </si>
  <si>
    <t>Mixed/0055.png</t>
  </si>
  <si>
    <t>Urban sidewalk with a car partially blocking the path and a utility pole creating a narrow passage; multi-story residential buildings line the street.</t>
  </si>
  <si>
    <t>[{"id": "obj_1", "class": "car", "description": "White car parked with its rear portion encroaching onto the sidewalk on the left side of the image", "position": "left foreground, occupying part of sidewalk adjacent to curb", "orientation": "aligned parallel to street, facing away from camera"}, {"id": "obj_2", "class": "utility_pole", "description": "Metal pole mounted in the middle of the sidewalk", "position": "center foreground, directly ahead in pedestrian path", "orientation": "vertical"}, {"id": "obj_3", "class": "sidewalk", "description": "Paved pedestrian sidewalk running along the street", "position": "extends from foreground to background through center of image", "orientation": "longitudinal along street direction"}, {"id": "obj_4", "class": "street", "description": "Vehicle roadway running parallel to sidewalk with additional parked cars", "position": "right side of image, lower to mid height", "orientation": "longitudinal"}, {"id": "obj_5", "class": "sign", "description": "Blue disabled parking sign on a pole along the sidewalk", "position": "upper center-left background", "orientation": "facing toward approaching pedestrians and drivers"}, {"id": "obj_6", "class": "building", "description": "Multi-story residential buildings on both sides of the street", "position": "left and right mid to upper parts of the image", "orientation": "front facades facing street"}, {"id": "obj_7", "class": "railing", "description": "Low stone and metal railing separating sidewalk from a lower area or street on the right", "position": "right side foreground to midground", "orientation": "parallel to sidewalk"}, {"id": "obj_8", "class": "vegetation", "description": "Bushes and small trees along the sidewalk and street", "position": "midground center-right and background", "orientation": "stationary landscaping"}]</t>
  </si>
  <si>
    <t>[{"id": "anom_1", "related_objects": ["obj_1", "obj_3"], "type": "sidewalk_obstruction_vehicle", "description": "Car is parked with its rear portion extending significantly onto the sidewalk, obstructing the pedestrian path.", "risk_score_1_to_10": 7, "risk_target": ["pedestrians", "wheelchair_users", "stroller_users"], "region": {"x_center_norm": 0.16, "y_center_norm": 0.46, "width_norm": 0.32, "height_norm": 0.54}, "reasoning": "The white car occupies a notable width of the sidewalk, forcing pedestrians to pass in a narrow gap or step closer to the street. In an urban context with disabled parking signage visible, sidewalk clearance is especially important for wheelchair users and people with reduced mobility. This obstruction presents a high trip/collision risk and could push vulnerable users toward the roadway."}, {"id": "anom_2", "related_objects": ["obj_2", "obj_3"], "type": "sidewalk_obstruction_infrastructure", "description": "Utility pole is installed in the middle of the sidewalk, creating a very narrow passage, especially combined with the parked car.", "risk_score_1_to_10": 6, "risk_target": ["pedestrians", "wheelchair_users", "stroller_users", "visually_impaired_pedestrians"], "region": {"x_center_norm": 0.52, "y_center_norm": 0.63, "width_norm": 0.12, "height_norm": 0.57}, "reasoning": "The pole stands directly in the main walking line, leaving only a tight space between it and the car. This design is not uncommon but still creates an accessibility and collision hazard, particularly for people with visual impairments or mobility devices that may not fit through the reduced width, forcing detours or proximity to the curb."}, {"id": "anom_3", "related_objects": ["obj_1", "obj_2", "obj_3"], "type": "combined_clearance_hazard", "description": "Combined effect of the parked car and central pole severely narrows the usable sidewalk width, potentially below accessibility standards.", "risk_score_1_to_10": 8, "risk_target": ["pedestrians", "wheelchair_users", "stroller_users"], "region": {"x_center_norm": 0.38, "y_center_norm": 0.6, "width_norm": 0.45, "height_norm": 0.45}, "reasoning": "Considering both obstructions together, the remaining passage appears very narrow, possibly impassable for wheelchairs or wide strollers. People may have to turn sideways, brush close to the car, or step off the sidewalk, increasing the chance of falls, collisions with the pole, or conflicts with passing traffic in a typical urban residential street."}]</t>
  </si>
  <si>
    <t>Geolocation confidence is low-to-medium; architecture, vegetation, and signage suggest a Mediterranean or Middle Eastern urban residential area. The main safety concern is pedestrian accessibility and collision risk due to compounded sidewalk obstructions.</t>
  </si>
  <si>
    <t>Mixed/0009.png</t>
  </si>
  <si>
    <t>Nighttime urban residential sidewalk with large discarded packaging materials, cardboard, bubble wrap, and glass window frames partially blocking the pedestrian path near a building entrance and fire hydrant.</t>
  </si>
  <si>
    <t>[{"id": "obj_1", "class": "sidewalk", "description": "Paved brick sidewalk running from bottom of image into background along building frontage", "position": "occupies most of lower and mid-left part of the scene", "orientation": "parallel to building facade"}, {"id": "obj_2", "class": "cardboard_boxes", "description": "Large flattened cardboard pieces leaning and lying on sidewalk", "position": "right-lower quadrant extending from bottom edge toward center", "orientation": "leaning diagonally from fire hydrant area toward center-left"}, {"id": "obj_3", "class": "bubble_wrap", "description": "Loose transparent bubble wrap and packing plastic on the ground", "position": "bottom-center to bottom-left of the image, spread over the sidewalk near cardboard", "orientation": "crumpled and scattered"}, {"id": "obj_4", "class": "glass_panel", "description": "Large framed glass window or door panel lying flat on the ground", "position": "lower-left quadrant, partly on sidewalk adjacent to low rock border", "orientation": "lying almost flat, frame edges visible"}, {"id": "obj_5", "class": "trash_bags", "description": "Plastic bags with packaging waste placed near bushes and cardboard stack", "position": "one near center-left on rock bed, others near cardboard toward center-right", "orientation": "resting on surfaces"}, {"id": "obj_6", "class": "fire_hydrant", "description": "Red fire hydrant on metal standpipe", "position": "right side of image near cardboard leaning against it", "orientation": "vertical"}, {"id": "obj_7", "class": "bushes", "description": "Trimmed decorative shrubs along building edge behind rock border", "position": "upper-left to upper-center of image", "orientation": "parallel to sidewalk"}, {"id": "obj_8", "class": "building_entrance", "description": "Residential building entrance lobby with glass door and lighting", "position": "upper-right quadrant behind sidewalk and waste", "orientation": "door faces toward camera"}]</t>
  </si>
  <si>
    <t>[{"id": "anom_1", "related_objects": ["obj_1", "obj_2", "obj_3", "obj_4", "obj_5"], "type": "sidewalk_obstruction_by_bulk_waste", "description": "Large discarded cardboard, glass panel, and packaging materials are placed directly on the sidewalk, partially blocking pedestrian passage and access to the building entrance.", "risk_score_1_to_10": 5, "risk_target": ["pedestrians", "general_civilians"], "region": {"x_center_norm": 0.43, "y_center_norm": 0.68, "width_norm": 0.74, "height_norm": 0.55}, "reasoning": "The bulk waste occupies a significant portion of the walking area where pedestrians would normally pass, particularly in low-light nighttime conditions. This raises trip and collision risk, especially for people with limited mobility, those pushing strollers, or not expecting such obstacles. It may also impede clear approach to the building lobby."}, {"id": "anom_2", "related_objects": ["obj_3", "obj_4"], "type": "slip_and_trip_hazard", "description": "Loose bubble wrap and a low-lying glass panel on the ground create surfaces that are easy to slip or trip on and difficult to see at night.", "risk_score_1_to_10": 6, "risk_target": ["pedestrians"], "region": {"x_center_norm": 0.34, "y_center_norm": 0.83, "width_norm": 0.46, "height_norm": 0.28}, "reasoning": "Bubble wrap is slick and can roll underfoot, and the glass panel forms a raised edge; both are at foot level. In dim lighting, these obstacles may not be clearly visible, increasing likelihood of falls with potential for serious injury, especially if the glass breaks."}, {"id": "anom_3", "related_objects": ["obj_2", "obj_6"], "type": "potential_obstruction_of_fire_hydrant", "description": "Cardboard waste is leaning against or very close to the fire hydrant, which could hinder quick access in an emergency and presents an additional combustible load.", "risk_score_1_to_10": 4, "risk_target": ["general_civilians", "emergency_services"], "region": {"x_center_norm": 0.82, "y_center_norm": 0.73, "width_norm": 0.25, "height_norm": 0.37}, "reasoning": "The hydrant should remain clearly accessible and unobstructed. While access is not fully blocked, firefighters may need to move bulky cardboard to attach hoses, delaying response. Cardboard also adds fuel if there is a nearby fire."}]</t>
  </si>
  <si>
    <t>Geolocation context: likely a Southern European or Mediterranean urban residential area (medium-confidence) inferred from building style, vegetation, and sidewalk materials. Risks are primarily to pedestrians using this sidewalk at night.</t>
  </si>
  <si>
    <t>Mixed/0004.png</t>
  </si>
  <si>
    <t>Evening urban sidewalk with a single pedestrian walking away from the camera beside a low stone wall and parked cars.</t>
  </si>
  <si>
    <t>[{"id": "obj_1", "class": "pedestrian", "description": "Adult person in white top and dark pants walking away from camera, carrying a turquoise bag.", "position": "center foreground on paved sidewalk", "orientation": "back facing camera, walking forward along sidewalk"}, {"id": "obj_2", "class": "sidewalk", "description": "Paved pedestrian walkway running along street with some uneven or cracked pavers.", "position": "extending from bottom foreground to mid-background", "orientation": "aligned roughly front-to-back in image"}, {"id": "obj_3", "class": "stone_wall", "description": "Low stone retaining wall on the right side of the sidewalk.", "position": "right side from foreground to background", "orientation": "parallel to sidewalk"}, {"id": "obj_4", "class": "parked_cars", "description": "Row of vehicles parked along the street to the left of the sidewalk.", "position": "left mid-ground and background beside sidewalk", "orientation": "parallel to roadway"}, {"id": "obj_5", "class": "street_environment", "description": "Urban residential street with buildings, trees, and street lighting during dusk or early night.", "position": "background across the scene", "orientation": "n/a"}]</t>
  </si>
  <si>
    <t>Step 1 – Based on architecture, parked cars, and sidewalk design, this appears to be a typical urban residential street in a temperate or Mediterranean city; confidence low to medium as no signage or language is visible. Step 2 – Scene type: sidewalk/pedestrian zone in a residential/mixed urban environment. Step 3 – Single pedestrian uses sidewalk properly; no visible traffic conflicts, obstructions, or hazardous behaviors. Step 5 – No anomaly or abnormal risk detected in this scene given common urban norms.</t>
  </si>
  <si>
    <t>Mixed/0048.jpg</t>
  </si>
  <si>
    <t>Urban roadway lane with bus stop marking near a storm drain and painted lane lines.</t>
  </si>
  <si>
    <t>[{"id": "obj_1", "class": "roadway", "description": "Paved road surface with two parallel yellow centerlines running horizontally across the upper part of the image", "position": "covers most of scene", "orientation": "roadway extends left-right"}, {"id": "obj_2", "class": "road_marking", "description": "Yellow edge line along the left side of the road", "position": "left edge of scene", "orientation": "runs bottom-left to upper-left"}, {"id": "obj_3", "class": "road_marking", "description": "Pair of yellow centerlines dividing traffic directions", "position": "upper-central region of the road", "orientation": "horizontal across image"}, {"id": "obj_4", "class": "road_marking", "description": "White painted bus symbol indicating bus stop or bus lane", "position": "right of center in lower-middle of scene", "orientation": "bus shape oriented roughly left-right"}, {"id": "obj_5", "class": "drain_cover", "description": "Circular metal storm drain grate set in a square concrete frame flush with the road surface", "position": "lower-left quadrant near the curb line", "orientation": "flat, parallel to road surface"}, {"id": "obj_6", "class": "curb", "description": "Raised curb or edge structure with yellow paint adjacent to roadway", "position": "bottom-left corner", "orientation": "diagonal from bottom-left upward"}, {"id": "obj_7", "class": "shadow", "description": "Overhead cable or pole shadow cast across the road surface", "position": "upper-left to upper-center", "orientation": "curved dark line"}]</t>
  </si>
  <si>
    <t>Step 1 – Geolocation &amp; Context: The road markings (solid yellow edge line, yellow centerlines) and bus symbol are generic and could correspond to many countries with right-hand traffic; no language or unique signage appears, so location confidence is low. It appears to be an urban or suburban bus lane/stop area in a relatively developed setting. Step 2 – Scene Type: This is a roadway/traffic environment within a mixed urban area. Step 3 – The frame shows a clean, dry road with a bus lane or stop symbol painted near a curb and a standard, flush storm drain. Step 5–8 – No abnormal conditions are visible: the drain cover appears intact and flush, markings are clear, the road is unobstructed, and there are no vehicles, pedestrians, or debris. Thus, no specific hazards beyond normal road use are detected, and overall risk is assessed as safe under typical conditions.</t>
  </si>
  <si>
    <t>Mixed/0084.jpg</t>
  </si>
  <si>
    <t>Dashcam view of a multi-lane urban road in winter with cars queued behind a truck, light snow on the roadside, and a sidewalk with pedestrians.</t>
  </si>
  <si>
    <t>[{"id": "obj_1", "class": "car", "description": "Dark car immediately ahead of the dashcam vehicle in the right lane, showing rear and license plate.", "position": "center foreground in right traffic lane", "orientation": "facing away from camera, aligned with traffic"}, {"id": "obj_2", "class": "truck", "description": "Box truck directly in front of the dark car in the same lane.", "position": "center mid-ground in right traffic lane", "orientation": "facing away from camera, aligned with traffic"}, {"id": "obj_3", "class": "car", "description": "Light-colored car in adjacent left lane further ahead.", "position": "left-center mid-ground in left traffic lane", "orientation": "facing away from camera, aligned with traffic"}, {"id": "obj_4", "class": "pedestrian", "description": "Pedestrian walking on the right-side sidewalk near the middle-right of the frame.", "position": "right side on sidewalk", "orientation": "walking along sidewalk parallel to road"}, {"id": "obj_5", "class": "sidewalk", "description": "Paved pedestrian path running along the right side of the road, partially snowy.", "position": "right edge of scene parallel to road", "orientation": "parallel to road"}, {"id": "obj_6", "class": "road", "description": "Two-lane urban roadway with wet surface and some snow at the edges.", "position": "occupies lower and central part of frame", "orientation": "extends from bottom toward horizon"}, {"id": "obj_7", "class": "guardrail", "description": "Low metal barrier along the right sidewalk edge above a shallow ditch or lower area.", "position": "right side bordering sidewalk and drop-off", "orientation": "parallel to road"}, {"id": "obj_8", "class": "building", "description": "Mid-rise residential or commercial buildings in the background on the right.", "position": "right background", "orientation": "facing road"}, {"id": "obj_9", "class": "traffic_sign", "description": "Diamond-shaped traffic sign on a pole near the center-right over the sidewalk/road edge.", "position": "center-right above curb area", "orientation": "facing approaching traffic"}]</t>
  </si>
  <si>
    <t>Step 1 – Geolocation &amp; context: Likely Eastern European or post-Soviet urban area (medium confidence) based on winter conditions, Cyrillic-looking license plate format, and architecture; driving on the right side of the road. No visible behaviors deviate from normal urban winter driving conditions. Road is wet with some snow at the sides, but no clear ice patches or loss of control, so no specific anomaly is identified from this single frame.</t>
  </si>
  <si>
    <t>Mixed/0061.png</t>
  </si>
  <si>
    <t>Urban street with parked cars and an electric scooter lying on the roadway next to the curb.</t>
  </si>
  <si>
    <t>[{"id": "obj_1", "class": "car", "description": "Black Peugeot car parked along the curb facing toward the camera, front visible with yellow license plate.", "position": "right-center of the image, adjacent to curb on near side of street", "orientation": "parked parallel to curb, front facing camera"}, {"id": "obj_2", "class": "car", "description": "Dark-colored car parked ahead of the black Peugeot, only rear-left side visible at left edge.", "position": "left foreground near curb", "orientation": "parked parallel to curb, rear facing camera"}, {"id": "obj_3", "class": "car", "description": "Silver SUV on the opposite side of the street, partially visible behind the black car.", "position": "upper left background, across the road", "orientation": "parked parallel to curb, side facing camera"}, {"id": "obj_4", "class": "electric_scooter", "description": "Shared-style electric scooter lying on its side on the roadway next to the curb between two parked cars.", "position": "lower center of image, on the road next to curb between obj_1 and obj_2", "orientation": "fallen, deck and handlebar lying horizontally on pavement"}, {"id": "obj_5", "class": "sidewalk", "description": "Brick and concrete sidewalk running along the right side of the image with blue-and-white painted curb.", "position": "right side of image", "orientation": "parallel to street"}, {"id": "obj_6", "class": "roadway", "description": "Paved urban street section with parallel curbside parking.", "position": "center area of image", "orientation": "running roughly from bottom to top of image"}]</t>
  </si>
  <si>
    <t>[{"id": "anom_1", "related_objects": ["obj_4", "obj_1", "obj_2"], "type": "fallen_scooter_in_traffic_area", "description": "An electric scooter is lying on its side in the roadway adjacent to the curb between parked cars, obstructing part of the driving path and posing a tripping and collision hazard.", "risk_score_1_to_10": 6, "risk_target": ["drivers", "pedestrians", "cyclists"], "region": {"x_center_norm": 0.43, "y_center_norm": 0.63, "width_norm": 0.33, "height_norm": 0.24}, "reasoning": "The scooter is not upright in a designated parking or docking area but instead lying across the road surface where vehicles may pass close to the parked cars or pull out, and pedestrians stepping off the curb could trip over it. This is a moderate risk in an otherwise orderly urban street."}]</t>
  </si>
  <si>
    <t>Geolocation context: The yellow license plate with black text and blue stripe suggests an Israeli urban street (medium confidence). No human injury is visible, but the position of the scooter implies it may have been dropped or involved in a minor incident.</t>
  </si>
  <si>
    <t>Mixed/0045.jpg</t>
  </si>
  <si>
    <t>Straight rural paved road extending into the horizon through flat farmland under bright low sun and partly cloudy sky, with no vehicles or pedestrians present.</t>
  </si>
  <si>
    <t>[{"id": "obj_1", "class": "roadway", "description": "Two-lane paved asphalt road viewed from very low angle, stretching straight toward the horizon.", "position": "center foreground to center background, occupying most of the image width", "orientation": "aligned roughly vertically in image, receding away from camera"}, {"id": "obj_2", "class": "lane_marking", "description": "Single solid white centerline marking in the middle of the road.", "position": "center of roadway from bottom edge toward the horizon", "orientation": "vertical line aligned with road direction"}, {"id": "obj_3", "class": "vegetation", "description": "Green grassy shoulders or fields on both sides of the road.", "position": "left and right edges of the image along road sides", "orientation": "horizontal bands flanking the road"}, {"id": "obj_4", "class": "sky", "description": "Bright sky with sun low on the horizon and scattered clouds.", "position": "upper half of the image, concentrated brightness at center horizon", "orientation": "sun facing toward camera along road direction"}]</t>
  </si>
  <si>
    <t>[{"id": "anom_1", "related_objects": ["obj_4", "obj_1"], "type": "sun_glare_on_road", "description": "Intense sun glare directly ahead along the road axis, potentially impairing drivers' forward visibility.", "risk_score_1_to_10": 4, "risk_target": ["drivers"], "region": {"x_center_norm": 0.5, "y_center_norm": 0.25, "width_norm": 0.6, "height_norm": 0.5}, "reasoning": "The sun is low on the horizon directly in line with the road, creating very bright light and high contrast toward the vanishing point. This can reduce a driver's ability to see obstacles or oncoming traffic, especially without sun visors or eyewear. However, there are no visible other road users or obstacles, so current risk is moderate rather than severe."}]</t>
  </si>
  <si>
    <t>Geolocation is uncertain; scene resembles a rural paved highway or country road in a temperate region (e.g., North America or Europe). No other traffic, pedestrians, or immediate obstacles are visible; main concern is reduced visibility from sun glare.</t>
  </si>
  <si>
    <t>Mixed/0015.jpg</t>
  </si>
  <si>
    <t>Multi-lane paved roadway with a large uncovered manhole or deep pothole in an active traffic lane.</t>
  </si>
  <si>
    <t>[{"id": "obj_1", "class": "roadway", "description": "Paved multi-lane road surface with painted white lane markings", "position": "extends across entire image; lanes oriented horizontally", "orientation": "lanes run left-right across frame"}, {"id": "obj_2", "class": "lane_marking", "description": "Solid and dashed white lines indicating lane separation near top of image", "position": "upper third of image, spanning horizontally", "orientation": "horizontal across road"}, {"id": "obj_3", "class": "road_hole", "description": "Large circular hole/open manhole in the asphalt, with visible depth", "position": "slightly right of center, in main road surface, away from lane markings", "orientation": "vertical opening in the pavement"}]</t>
  </si>
  <si>
    <t>[{"id": "anom_1", "related_objects": ["obj_1", "obj_3"], "type": "uncovered_manhole_or_large_pothole", "description": "A large, deep, uncovered circular hole in the middle of an active traffic lane, unmarked and unprotected.", "risk_score_1_to_10": 8, "risk_target": ["drivers", "motorcyclists", "cyclists", "pedestrians"], "region": {"x_center_norm": 0.6, "y_center_norm": 0.63, "width_norm": 0.22, "height_norm": 0.2}, "reasoning": "The circular opening is clearly large enough for a car wheel, motorcycle, or bicycle to strike or fall into, which could cause loss of control, rollovers, vehicle damage, or a person falling into the hole. It is located on the traveled portion of the road with no cones, barriers, or warning signs, creating a high risk for all road users."}]</t>
  </si>
  <si>
    <t>Geolocation context is low-confidence; generic paved multi-lane road with white lane markings suggests a standard urban or interurban roadway in many countries. The uncovered hole is a significant infrastructure defect and should be immediately barricaded and repaired.</t>
  </si>
  <si>
    <t>Mixed/0082.jpg</t>
  </si>
  <si>
    <t>Winter urban highway with moderate traffic, viewed from a dashcam, with cars ahead and snow along the roadside.</t>
  </si>
  <si>
    <t>[{"id": "obj_1", "class": "car", "description": "Dark hatchback directly in front of the dashcam vehicle in the same lane", "position": "center foreground in the main travel lane", "orientation": "facing away from camera, aligned with lane direction"}, {"id": "obj_2", "class": "car", "description": "Red car slightly ahead and to the right of the main car, in an adjacent lane", "position": "right foreground in right adjacent lane", "orientation": "facing away from camera, aligned with lane direction"}, {"id": "obj_3", "class": "cars", "description": "Multiple vehicles further ahead forming a line of traffic", "position": "mid to far distance across lanes", "orientation": "all facing away from camera along roadway"}, {"id": "obj_4", "class": "roadway", "description": "Multi-lane divided highway or overpass with barriers and snow on the sides", "position": "occupies lower and central area of the frame", "orientation": "curving slightly to the left in the distance"}, {"id": "obj_5", "class": "snowbank", "description": "Snow accumulation along the left edge of the roadway near the barrier", "position": "left side of road in foreground and midground", "orientation": "parallel to roadway"}, {"id": "obj_6", "class": "traffic_lights", "description": "Overhead traffic lights spanning the lanes ahead", "position": "upper central area above roadway", "orientation": "perpendicular to direction of travel"}, {"id": "obj_7", "class": "signs", "description": "Multiple overhead and roadside traffic or information signs", "position": "upper left and center above lanes", "orientation": "facing approaching traffic"}, {"id": "obj_8", "class": "barrier", "description": "Concrete or metal roadside barriers on both sides of the elevated road", "position": "along left and right edges of roadway", "orientation": "parallel to roadway"}]</t>
  </si>
  <si>
    <t>Likely Eastern European or Russian urban highway in winter (date overlay, snow, vehicle styles, overhead gantries). No clear anomalies or abnormal behaviors visible in this single frame; traffic appears orderly and lanes unobstructed aside from normal snow along the shoulders.</t>
  </si>
  <si>
    <t>Mixed/0095.png</t>
  </si>
  <si>
    <t>Sunny urban sidewalk beside parked cars, with hedge on one side and service covers embedded in the pavement.</t>
  </si>
  <si>
    <t>[{"id": "obj_1", "class": "sidewalk", "description": "Paved pedestrian sidewalk running from bottom center toward upper center of image", "position": "central vertical band of scene", "orientation": "aligned with image depth"}, {"id": "obj_2", "class": "car", "description": "Dark sedan parked parallel along curb on right side with visible rear bumper damage", "position": "right center", "orientation": "parked facing away from camera, parallel to sidewalk"}, {"id": "obj_3", "class": "car", "description": "Silver sedan parked ahead of the dark car along same curb", "position": "right upper", "orientation": "parked facing away from camera"}, {"id": "obj_4", "class": "hedge", "description": "Tall dense green hedge forming continuous barrier along left side of sidewalk", "position": "left side", "orientation": "parallel to sidewalk"}, {"id": "obj_5", "class": "service_cover", "description": "Two square concrete/metal service covers embedded in sidewalk near camera viewpoint", "position": "bottom center of sidewalk", "orientation": "flush with pavement surface"}, {"id": "obj_6", "class": "shadow", "description": "Human shadow cast on the sidewalk near service covers, likely camera holder", "position": "bottom center", "orientation": "facing up-scene"}, {"id": "obj_7", "class": "curb_marking", "description": "Curb edge with blue and white paint marking parking or stopping regulation", "position": "right edge between sidewalk and parked cars", "orientation": "parallel to roadway"}]</t>
  </si>
  <si>
    <t>No visible obstructions, structural damage, or abnormal behavior; parked cars and infrastructure appear typical for an urban sidewalk next to street parking.</t>
  </si>
  <si>
    <t>Mixed/0086.jpg</t>
  </si>
  <si>
    <t>Snowy urban road with multiple vehicles driving on an icy, partially cleared surface.</t>
  </si>
  <si>
    <t>[{"id": "obj_1", "class": "roadway", "description": "Two-lane snow-covered road extending from foreground to background", "position": "center of scene below horizon", "orientation": "aligned with camera viewing direction"}, {"id": "obj_2", "class": "car", "description": "Light-colored sedan ahead in same lane as camera, moving away", "position": "center of lane, mid-distance", "orientation": "facing away from camera"}, {"id": "obj_3", "class": "car", "description": "White or light-colored oncoming car in opposite lane", "position": "left of center, mid-distance", "orientation": "facing toward camera"}, {"id": "obj_4", "class": "car", "description": "Dark vehicle parked or moving slowly on left roadside", "position": "far left edge, mid-distance", "orientation": "roughly aligned with roadway"}, {"id": "obj_5", "class": "car", "description": "Additional oncoming vehicles further back in opposite lane", "position": "left of center, far distance", "orientation": "facing toward camera"}, {"id": "obj_6", "class": "snow", "description": "Snow and possible ice covering roadway and surrounding area", "position": "covering road surface and roadsides", "orientation": "lying flat on ground"}, {"id": "obj_7", "class": "pedestrian", "description": "Small figures walking on right side near trees", "position": "right side of scene, mid-distance off the roadway", "orientation": "likely parallel to road"}, {"id": "obj_8", "class": "trees", "description": "Leafless trees along right roadside in snowy environment", "position": "right side background", "orientation": "vertical"}, {"id": "obj_9", "class": "traffic_sign", "description": "Small blue road sign on right side of road", "position": "right roadside, mid-distance", "orientation": "facing toward oncoming traffic"}]</t>
  </si>
  <si>
    <t>[{"id": "anom_1", "related_objects": ["obj_1", "obj_2", "obj_3", "obj_6"], "type": "icy_snow_covered_road", "description": "Road surface is heavily covered with snow and likely ice, reducing traction and braking effectiveness for all vehicles.", "risk_score_1_to_10": 7, "risk_target": ["drivers", "pedestrians"], "region": {"x_center_norm": 0.5, "y_center_norm": 0.72, "width_norm": 0.9, "height_norm": 0.5}, "reasoning": "The entire roadway shows compacted snow and visible tracks with no clear bare pavement, indicating slippery conditions. With active two-way traffic, this substantially increases stopping distances and the chance of skidding or loss of control, posing a high but not yet imminent collision risk."}]</t>
  </si>
  <si>
    <t>Geolocation confidence is low; the snowy urban setting with leafless trees suggests a cold-climate region, possibly Eastern Europe or Russia. No clear evidence of additional traffic violations or pedestrians in the roadway; main risk arises from winter road conditions.</t>
  </si>
  <si>
    <t>Mixed/0011.jpg</t>
  </si>
  <si>
    <t>Urban roadway with an open manhole in the pavement surrounded by orange traffic cones.</t>
  </si>
  <si>
    <t>[{"id": "obj_1", "class": "open_manhole", "description": "Open circular manhole in the road surface with exposed hole", "position": "lower-left central area of the road surface", "orientation": "vertical opening in pavement"}, {"id": "obj_2", "class": "manhole_cover", "description": "Displaced circular manhole cover lying partially off to the side of the open manhole", "position": "left of the manhole opening", "orientation": "lying flat on road, tilted slightly relative to opening"}, {"id": "obj_3", "class": "traffic_cone", "description": "Orange traffic cone placed near bottom edge of frame", "position": "foreground, bottom-center", "orientation": "upright"}, {"id": "obj_4", "class": "traffic_cone", "description": "Orange traffic cone placed to the upper-left of the open manhole", "position": "left-center", "orientation": "upright"}, {"id": "obj_5", "class": "traffic_cone", "description": "Orange traffic cone placed to the upper-right of the open manhole", "position": "right-center", "orientation": "upright"}, {"id": "obj_6", "class": "traffic_cone", "description": "Orange traffic cone placed to the lower-right of the open manhole", "position": "lower-right", "orientation": "upright"}, {"id": "obj_7", "class": "roadway", "description": "Paved asphalt road surface with no visible vehicles or pedestrians", "position": "entire background", "orientation": "flat horizontal surface"}]</t>
  </si>
  <si>
    <t>[{"id": "anom_1", "related_objects": ["obj_1", "obj_2", "obj_3", "obj_4", "obj_5", "obj_6"], "type": "open_manhole_in_traffic_lane", "description": "An open manhole in the middle of a traffic lane, partially marked by cones, presents a hazard to vehicles, cyclists, and pedestrians.", "risk_score_1_to_10": 7, "risk_target": ["drivers", "cyclists", "pedestrians"], "region": {"x_center_norm": 0.45, "y_center_norm": 0.55, "width_norm": 0.6, "height_norm": 0.6}, "reasoning": "The manhole cover is removed, leaving a deep vertical drop in the roadway. Although four cones are present, they form only a loose perimeter and could be missed or struck, especially at night or at speed. A vehicle wheel or cyclist could fall into the opening, or a pedestrian could trip or fall if they enter the area."}]</t>
  </si>
  <si>
    <t>Step 1: The generic asphalt road, style of manhole cover, and standard orange traffic cones suggest a typical urban roadway in a developed country; confidence is low because there are no specific markings or language. Step 2: Scene type is roadway/traffic environment in a mixed urban context. The main risk is the open manhole, which is partially mitigated but still a significant hazard without stronger barriers or signage.</t>
  </si>
  <si>
    <t>Mixed/0013.jpg</t>
  </si>
  <si>
    <t>Tree-lined paved path or narrow road with an uncovered and damaged manhole opening in the foreground.</t>
  </si>
  <si>
    <t>[{"id": "obj_1", "class": "roadway", "description": "Narrow paved path or road running away from the camera, bordered by concrete curbs and greenery", "position": "extends from foreground bottom center toward background center", "orientation": "aligned roughly vertically in the image"}, {"id": "obj_2", "class": "manhole_opening", "description": "Circular manhole ring with missing cover and broken surrounding asphalt", "position": "foreground, slightly left of image center in the roadway surface", "orientation": "opening facing upward"}, {"id": "obj_3", "class": "curb", "description": "Concrete curbs along both sides of the paved surface", "position": "left and right edges of the road", "orientation": "parallel to roadway"}, {"id": "obj_4", "class": "vegetation", "description": "Grass, bushes and trees along both sides of the path providing shade", "position": "left and right sides beyond the curbs", "orientation": "surrounding the roadway"}]</t>
  </si>
  <si>
    <t>[{"id": "anom_1", "related_objects": ["obj_2", "obj_1"], "type": "uncovered_manhole_in_path", "description": "The manhole in the middle of the paved path is missing its cover, leaving a large open hole with crumbling edges directly in the travel way.", "risk_score_1_to_10": 8, "risk_target": ["pedestrians", "cyclists", "drivers"], "region": {"x_center_norm": 0.5, "y_center_norm": 0.63, "width_norm": 0.35, "height_norm": 0.3}, "reasoning": "An uncovered manhole in the center of a path or narrow road is a major trip and fall hazard for pedestrians and a severe risk for cyclists or small vehicles that could hit or fall into the hole, especially in low light or if obscured by leaves. The broken asphalt further increases the chance of losing footing or control."}]</t>
  </si>
  <si>
    <t>Geolocation is uncertain (likely a temperate urban or park environment). The dominant risk is the large, unprotected opening in an otherwise normal paved route.</t>
  </si>
  <si>
    <t>Mixed/0006.png</t>
  </si>
  <si>
    <t>Nighttime urban intersection with a pedestrian crossing a marked crosswalk while vehicles approach in the background.</t>
  </si>
  <si>
    <t>[{"id": "obj_1", "class": "pedestrian", "description": "Single person in dark clothing walking across the crosswalk from right to left", "position": "center-left of the crosswalk, mid-distance in the scene", "orientation": "facing left, roughly perpendicular to traffic flow"}, {"id": "obj_2", "class": "car", "description": "Brightly lit car approaching intersection in the right background", "position": "right-center background on main roadway", "orientation": "facing toward the camera"}, {"id": "obj_3", "class": "cars", "description": "Line of vehicles further back at intersection with visible red traffic lights", "position": "far-right background on the main road", "orientation": "facing toward the camera"}, {"id": "obj_4", "class": "crosswalk", "description": "Painted zebra crosswalk across the roadway in the foreground", "position": "foreground center, spanning left to right", "orientation": "perpendicular to traffic lanes"}, {"id": "obj_5", "class": "sidewalk", "description": "Textured red sidewalk with tactile paving at curb", "position": "bottom-left foreground adjacent to crosswalk", "orientation": "parallel to road edge"}, {"id": "obj_6", "class": "traffic_lights", "description": "Red traffic signals visible at the intersection controlling vehicles", "position": "right background above roadway", "orientation": "facing approaching traffic"}, {"id": "obj_7", "class": "tree", "description": "Large overhanging tree canopy partially darkening the crossing area", "position": "upper-left and upper-center above crosswalk", "orientation": "branches extending over roadway"}]</t>
  </si>
  <si>
    <t>[{"id": "anom_1", "related_objects": ["obj_1", "obj_2", "obj_3", "obj_4", "obj_7"], "type": "limited_visibility_crosswalk_at_night", "description": "Pedestrian crossing at night in a relatively dim area under a tree canopy, with approaching vehicles nearby, reducing conspicuity of the person in dark clothing.", "risk_score_1_to_10": 5, "risk_target": ["pedestrians", "drivers"], "region": {"x_center_norm": 0.45, "y_center_norm": 0.55, "width_norm": 0.6, "height_norm": 0.5}, "reasoning": "The crosswalk is appropriately used by the pedestrian, but it is nighttime and the area directly over the crossing appears darker due to tree cover. The pedestrian wears dark clothes, which can make them harder for drivers to see, especially with oncoming headlights and background lights. Vehicles are present and approaching, so any visibility reduction increases collision risk, though traffic seems controlled by lights."}]</t>
  </si>
  <si>
    <t>Likely Mediterranean or Middle Eastern urban setting (e.g., based on curb painting style and vegetation), but this is uncertain and does not materially change the moderate nighttime crossing risk identified.</t>
  </si>
  <si>
    <t>Mixed/0050.jpg</t>
  </si>
  <si>
    <t>Urban sidewalk with a manhole and a life-sized bronze statue of a worker emerging from it, integrated into the pavement.</t>
  </si>
  <si>
    <t>[{"id": "obj_1", "class": "sidewalk", "description": "Paved stone sidewalk surface covering the scene", "position": "extends across entire image", "orientation": "horizontal plane"}, {"id": "obj_2", "class": "manhole_cover", "description": "Round manhole cover partially open beside the statue", "position": "left-center of the image on sidewalk", "orientation": "lying flat, slightly displaced from the opening"}, {"id": "obj_3", "class": "statue", "description": "Bronze statue of a worker emerging from manhole, resting chin on folded arms", "position": "right-center of the image, protruding from manhole opening", "orientation": "upper body leaning out of manhole, facing toward lower-right of image"}, {"id": "obj_4", "class": "manhole_opening", "description": "Exposed manhole opening occupied by the statue", "position": "center-right of the image, within sidewalk", "orientation": "vertical shaft opening in pavement"}]</t>
  </si>
  <si>
    <t>[{"id": "anom_1", "related_objects": ["obj_2", "obj_3", "obj_4"], "type": "trip_hazard_from_sculpture_layout", "description": "Life-sized statue emerging from manhole and the partially open manhole cover create unexpected obstacles and a possible trip hazard on the pedestrian sidewalk.", "risk_score_1_to_10": 4, "risk_target": ["pedestrians"], "region": {"x_center_norm": 0.52, "y_center_norm": 0.55, "width_norm": 0.66, "height_norm": 0.62}, "reasoning": "On an otherwise flat sidewalk, a protruding statue at ground level and a displaced manhole cover are unusual. Pedestrians who are inattentive, in crowds, or with low visibility (nighttime, visual impairment) could trip over the sculpture or edge of the cover, though it appears to be a deliberate public artwork rather than an emergency defect. Hence a mild but real trip hazard."}]</t>
  </si>
  <si>
    <t>Geolocation/context: This resembles a European city public artwork (e.g., bronze street sculpture integrated into pavement). Assessment medium-confidence based on paving style and type of statue. Risk is evaluated as mild because such installations are typically in low-speed pedestrian zones, but can still cause trips.</t>
  </si>
  <si>
    <t>Mixed/0016.jpg</t>
  </si>
  <si>
    <t>Open manhole on a paved surface with its heavy circular cover lifted and partially off, attached to a metal lifting tool.</t>
  </si>
  <si>
    <t>[{"id": "obj_1", "class": "manhole_opening", "description": "Circular open manhole on a flat paved surface, exposing a vertical shaft below", "position": "right-center of the scene on the pavement", "orientation": "vertical opening in the ground"}, {"id": "obj_2", "class": "manhole_cover", "description": "Heavy circular metal manhole cover lifted and resting partly off the opening", "position": "slightly left of the manhole opening on the pavement edge of the hole", "orientation": "tilted, with one side on the pavement and the other near the opening"}, {"id": "obj_3", "class": "tool_bar", "description": "Metal bar or hook inserted into the manhole cover for lifting", "position": "extending left from the manhole cover across the pavement", "orientation": "horizontal along the pavement surface"}, {"id": "obj_4", "class": "paved_surface", "description": "Flat concrete or asphalt surface, likely part of a roadway, parking area, or pedestrian zone", "position": "covers nearly the entire scene", "orientation": "horizontal ground plane"}]</t>
  </si>
  <si>
    <t>[{"id": "anom_1", "related_objects": ["obj_1", "obj_2", "obj_3"], "type": "unprotected_open_manhole", "description": "Open manhole on a paved walking or driving surface with no barricades, cones, or warning signs, and cover partially removed, creating a fall and trip hazard.", "risk_score_1_to_10": 8, "risk_target": ["pedestrians", "drivers", "cyclists"], "region": {"x_center_norm": 0.56, "y_center_norm": 0.55, "width_norm": 0.6, "height_norm": 0.6}, "reasoning": "The manhole opening is fully exposed in an otherwise flat surface where people or vehicles may reasonably travel. There are no visible barriers or signage around the hole, and the cover plus metal bar create additional trip hazards. A pedestrian, cyclist, or even a vehicle wheel could unexpectedly encounter the opening, leading to serious injury or damage."}]</t>
  </si>
  <si>
    <t>Geolocation is uncertain (likely generic urban or semi-urban setting in a temperate or warm region), but open unbarricaded utility access points are universally considered high-risk in pedestrian or vehicle areas.</t>
  </si>
  <si>
    <t>Mixed/0002.png</t>
  </si>
  <si>
    <t>Paved pedestrian sidewalk with a standing water puddle near a pole; no vehicles or people on the walkway.</t>
  </si>
  <si>
    <t>[{"id": "obj_1", "class": "sidewalk", "description": "Brick-paved pedestrian walkway covering most of the frame", "position": "extends from bottom foreground to upper part of image", "orientation": "aligned roughly along image vertical axis"}, {"id": "obj_2", "class": "puddle", "description": "Standing water puddle on the sidewalk reflecting a pole and surroundings", "position": "upper-central area of the sidewalk", "orientation": "irregular shape"}, {"id": "obj_3", "class": "pole", "description": "Vertical pole with black-and-yellow banding near right edge, partly reflected in puddle", "position": "right side of image above center", "orientation": "vertical"}, {"id": "obj_4", "class": "fence", "description": "Metal or wooden fence with vegetation behind it along left edge", "position": "left side of image running toward top-left corner", "orientation": "parallel to sidewalk"}, {"id": "obj_5", "class": "shadow", "description": "Shadow of the photographer or another person cast on lower-right sidewalk", "position": "lower-right quadrant", "orientation": "shadow elongated toward center"}]</t>
  </si>
  <si>
    <t>[{"id": "anom_1", "related_objects": ["obj_2", "obj_1"], "type": "slip_trip_hazard", "description": "Water puddle on pedestrian sidewalk could cause slipping or force pedestrians to step around it, increasing trip or collision risk in low light.", "risk_score_1_to_10": 4, "risk_target": ["pedestrians"], "region": {"x_center_norm": 0.53, "y_center_norm": 0.32, "width_norm": 0.38, "height_norm": 0.19}, "reasoning": "The puddle occupies a noticeable portion of the walking path, making the surface potentially slippery, especially if the bricks are smooth or if pedestrians are distracted or visibility is poor."}]</t>
  </si>
  <si>
    <t>Geolocation and context are low-confidence; appears to be an urban or suburban sidewalk in a temperate or warm climate, inferred from brick paving and surrounding vegetation.</t>
  </si>
  <si>
    <t>Mixed/0088.jpg</t>
  </si>
  <si>
    <t>A large elk with antlers is crossing a wet, two-lane rural road in front of vehicles in a barren, hilly landscape.</t>
  </si>
  <si>
    <t>[{"id": "obj_1", "class": "elk", "description": "Large elk with antlers mid-crossing on the roadway, body mostly side-on", "position": "center of the lane in the foreground, slightly left of image center", "orientation": "facing right across the road"}, {"id": "obj_2", "class": "car", "description": "White SUV or pickup approaching in opposite lane with headlights on", "position": "left side of image, in oncoming lane several meters behind the elk", "orientation": "facing toward the camera and elk"}, {"id": "obj_3", "class": "car", "description": "Vehicle from whose windshield the photo is taken, on the near side of the elk", "position": "bottom right foreground, only dashboard/hood edge visible", "orientation": "facing forward toward the elk"}, {"id": "obj_4", "class": "road", "description": "Two-lane paved roadway with yellow centerline and white edge markings, surface wet from rain", "position": "extending from bottom foreground to horizon", "orientation": "curving through the landscape"}, {"id": "obj_5", "class": "environment", "description": "Open, treeless, brownish grassland with low hills under overcast sky", "position": "background surrounding the road", "orientation": "n/a"}]</t>
  </si>
  <si>
    <t>[{"id": "anom_1", "related_objects": ["obj_1", "obj_2", "obj_3", "obj_4"], "type": "large animal on roadway", "description": "A large elk is standing and walking across the middle of an active roadway in wet conditions, posing collision risk to vehicles in both directions.", "risk_score_1_to_10": 8, "risk_target": ["drivers"], "region": {"x_center_norm": 0.5, "y_center_norm": 0.53, "width_norm": 0.33, "height_norm": 0.53}, "reasoning": "The elk occupies the travel lane on a slick, rainy road with at least one oncoming vehicle and the viewer’s vehicle nearby, creating a high risk of a high-severity collision if drivers do not slow or stop in time."}, {"id": "anom_2", "related_objects": ["obj_4"], "type": "slippery road surface", "description": "Road surface appears wet and reflective from rain, increasing braking distance and reducing tire grip.", "risk_score_1_to_10": 5, "risk_target": ["drivers"], "region": {"x_center_norm": 0.5, "y_center_norm": 0.7, "width_norm": 1.0, "height_norm": 0.6}, "reasoning": "In combination with the unexpected obstacle (elk), the wet surface could impede stopping and maneuvering, moderately elevating crash risk compared to dry conditions."}]</t>
  </si>
  <si>
    <t>Location is likely a rural or mountainous roadway in a region where elk are present (e.g., North American national park or highland), but confidence is medium due to limited contextual signage. Animal presence on roads may be somewhat expected here, yet the size of the elk and road wetness still constitute a significant hazard.</t>
  </si>
  <si>
    <t>Mixed/0038.jpg</t>
  </si>
  <si>
    <t>Rural two-lane paved road with a large longitudinal crack and ground subsidence running along one lane, with greenery and fields on both sides and a distant motorcycle approaching.</t>
  </si>
  <si>
    <t>[{"id": "obj_1", "class": "roadway", "description": "Two-lane paved rural road with center yellow line and white edge lines, extending into distance", "position": "dominant central area of the image from bottom foreground to top center", "orientation": "aligned roughly vertically in the image, extending away from the viewer"}, {"id": "obj_2", "class": "road_damage", "description": "Large longitudinal crack and subsided section in asphalt surface, roughly following one lane", "position": "starting near bottom left-center of roadway and extending toward mid-upper center", "orientation": "long narrow feature aligned roughly along the length of the road"}, {"id": "obj_3", "class": "motorcycle", "description": "Small motorcycle or scooter with rider visible far in the distance on the road", "position": "near the top center of the road, beyond the damaged section", "orientation": "facing toward the camera, traveling along the lane"}, {"id": "obj_4", "class": "vegetation", "description": "Dense trees and bushes along left roadside", "position": "left edge of the image, adjacent to road", "orientation": "roadside greenery"}, {"id": "obj_5", "class": "field", "description": "Open green agricultural or grassy fields beyond the road", "position": "right side and top area of the image", "orientation": "flat, open land"}]</t>
  </si>
  <si>
    <t>[{"id": "anom_1", "related_objects": ["obj_1", "obj_2", "obj_3"], "type": "severe_road_surface_damage", "description": "A major longitudinal crack with visible subsidence and open gap splits the roadway, obstructing at least one lane and posing a serious hazard to vehicles, especially two-wheelers.", "risk_score_1_to_10": 9, "risk_target": ["drivers", "motorcyclists", "cyclists"], "region": {"x_center_norm": 0.36, "y_center_norm": 0.55, "width_norm": 0.32, "height_norm": 0.75}, "reasoning": "The crack is wide and deep enough to disrupt the road surface significantly, with broken and collapsed asphalt. A motorcyclist is visible approaching along the road, and if they do not see or cannot avoid the damaged area, there is a high risk of loss of control or crash. On a rural road with potentially higher travel speeds and limited warning signage, this constitutes a severe safety hazard."}]</t>
  </si>
  <si>
    <t>Geolocation is uncertain but suggests a rural area in a warm climate, possibly in Asia, based on vegetation and road style. Regardless of exact location, such extensive cracking and subsidence on an active road segment is highly dangerous without barriers or warning signs.</t>
  </si>
  <si>
    <t>Mixed/0030.jpg</t>
  </si>
  <si>
    <t>Rural or desert roadway with a large longitudinal crack and surface breakup running along the center of the lane.</t>
  </si>
  <si>
    <t>[{"id": "obj_1", "class": "road", "description": "Paved two-lane road extending into the distance through a sparsely vegetated, hilly landscape", "position": "occupies most of the frame from bottom foreground to top center", "orientation": "aligned roughly from bottom center toward top center of the image"}, {"id": "obj_2", "class": "road_damage", "description": "Large, deep longitudinal crack with broken and uplifted asphalt segments along the center of the lane", "position": "starts near the bottom center foreground and continues toward the midline of the road", "orientation": "oriented along the direction of travel, roughly vertical in the image"}, {"id": "obj_3", "class": "vegetation", "description": "Sparse bushes and dry vegetation at the sides of the road", "position": "left and right edges of the frame along the roadside", "orientation": "stationary along the road shoulders"}, {"id": "obj_4", "class": "terrain", "description": "Low hills or embankments bordering the roadway", "position": "mid-to-upper left and right sides of the frame", "orientation": "flanking the road corridor"}]</t>
  </si>
  <si>
    <t>[{"id": "anom_1", "related_objects": ["obj_1", "obj_2"], "type": "severe_road_surface_damage", "description": "A major crack and structural failure in the asphalt runs along the travel path, creating an uneven and potentially impassable section of road.", "risk_score_1_to_10": 8, "risk_target": ["drivers", "motorcyclists", "cyclists"], "region": {"x_center_norm": 0.5, "y_center_norm": 0.6, "width_norm": 0.6, "height_norm": 0.7}, "reasoning": "The crack is wide and deep, with broken asphalt pieces and vertical displacement, which could cause loss of control, wheel damage, or a crash, especially for smaller vehicles or at speed. It lies directly in the vehicle path on a rural road where drivers may not anticipate such damage."}]</t>
  </si>
  <si>
    <t>Geolocation is low-confidence; scene resembles an arid or semi-arid rural highway typical of regions in the western United States or similar climates. Regardless of location, the road damage is substantial enough that the segment should be considered hazardous and potentially closed or clearly signposted.</t>
  </si>
  <si>
    <t>Mixed/0068.png</t>
  </si>
  <si>
    <t>Urban beachfront with promenade, palm trees, and people on the beach and in the water along a moderately wavy sea.</t>
  </si>
  <si>
    <t>[{"id": "obj_1", "class": "beach", "description": "Wide sandy beach stretching from lower-right toward upper-left along the shoreline", "position": "center band from mid-right to upper-left between water and promenade", "orientation": "parallel to shoreline"}, {"id": "obj_2", "class": "sea", "description": "Moderately wavy sea with visible surf and whitecaps", "position": "right and upper portions of the image", "orientation": "waves approaching shore from right to left"}, {"id": "obj_3", "class": "pedestrians", "description": "Scattered people walking or standing along the beach and near the waterline", "position": "mainly mid-height of image along the waterline from center to upper-left", "orientation": "various directions"}, {"id": "obj_4", "class": "swimmers", "description": "Individuals in the shallow water close to shore", "position": "near the surf zone roughly mid-right of the image", "orientation": "facing shore or sea"}, {"id": "obj_5", "class": "buildings", "description": "Multi-story coastal hotels or apartments", "position": "left and upper-left sides of the image behind the promenade", "orientation": "frontages facing the sea"}, {"id": "obj_6", "class": "promenade", "description": "Paved walkway with palm trees and light poles running parallel to the beach", "position": "lower third horizontally, between buildings and sand", "orientation": "parallel to shoreline from lower-left to upper-left"}, {"id": "obj_7", "class": "lifeguard_tower", "description": "Elevated lifeguard platform with a yellow flag", "position": "right-center on the beach near the surf", "orientation": "facing the sea"}, {"id": "obj_8", "class": "sunbeds_umbrellas", "description": "Rows of beach loungers with fixed umbrellas", "position": "central beach area, mostly between mid and right side of the frame", "orientation": "aligned in rows parallel to the shoreline"}, {"id": "obj_9", "class": "road", "description": "Coastal road with a few vehicles partially visible behind trees", "position": "lower-middle portion, behind the promenade and in front of buildings", "orientation": "parallel to shoreline"}, {"id": "obj_10", "class": "trees", "description": "Palm trees lining the promenade and road", "position": "lower half of image, concentrated near center and right", "orientation": "upright vertical"}]</t>
  </si>
  <si>
    <t>Step 1 – Geolocation &amp; Context: This appears to be a developed Mediterranean-style coastal city (likely Southern Europe) based on architecture, palm-lined promenade, and organized beach infrastructure. Confidence: medium; assumption is a typical regulated urban beach. Step 2–5 – Scene Type &amp; Anomalies: Coastal / aquatic environment with adjacent mixed urban area and pedestrian promenade. Sea conditions show moderate surf but swimmers remain in shallow nearshore areas and a lifeguard tower with flag is present, indicating supervised conditions. No visible rip currents, overcrowding, or unsafe behavior. No anomalous vehicles, damaged infrastructure, or environmental hazards are evident in this single frame. Consequently, no specific anomalies or elevated risks can be reliably identified beyond ordinary background risks inherent to beaches, which are not counted as anomalies here.</t>
  </si>
  <si>
    <t>Mixed/0019.jpg</t>
  </si>
  <si>
    <t>Open septic or underground tank access with a large hose inserted on a rough outdoor ground surface, likely during pumping or maintenance, with no visible barriers or warning signs.</t>
  </si>
  <si>
    <t>[{"id": "obj_1", "class": "septic_tank_opening", "description": "Large circular green access opening in the ground with its cover removed, showing a vertical drop inside", "position": "foreground center-left on ground surface", "orientation": "opening oriented vertically downward"}, {"id": "obj_2", "class": "hose", "description": "Thick flexible hose inserted into the tank opening, extending toward the background", "position": "entering the open tank at lower center and extending to upper center-right", "orientation": "angled from foreground down into the opening and back toward the background"}, {"id": "obj_3", "class": "ground_surface", "description": "Uneven dirt and paved ground around the opening, with loose debris and wet or stained areas", "position": "covering most of the scene around the tank opening", "orientation": "horizontal ground plane"}, {"id": "obj_4", "class": "buildings", "description": "Out-of-focus building structures or garages in the background", "position": "upper part of the image", "orientation": "vertical facades facing the open area"}]</t>
  </si>
  <si>
    <t>[{"id": "anom_1", "related_objects": ["obj_1"], "type": "unprotected_open_manhole_or_tank", "description": "Large open septic or tank access in an outdoor area without visible barriers, cones, or warning signs to prevent people from stepping or driving into it.", "risk_score_1_to_10": 8, "risk_target": ["pedestrians", "workers"], "region": {"x_center_norm": 0.35, "y_center_norm": 0.6, "width_norm": 0.5, "height_norm": 0.55}, "reasoning": "An open underground access point presents a significant fall hazard, especially when flush with the ground and lacking railings, covers, or conspicuous warning devices. The surrounding area looks like a work yard or driveway where people may walk and not expect a large hole, making the risk of serious injury from a fall relatively high."}, {"id": "anom_2", "related_objects": ["obj_1", "obj_2"], "type": "trip_and_entanglement_hazard", "description": "Thick hose crossing the walking area and entering the open tank without protective routing or marking, posing a trip hazard near the open hole.", "risk_score_1_to_10": 6, "risk_target": ["pedestrians", "workers"], "region": {"x_center_norm": 0.6, "y_center_norm": 0.4, "width_norm": 0.7, "height_norm": 0.6}, "reasoning": "People moving around the work zone could easily trip over the bulky hose, especially in low light or if distracted. A trip in this location could cause a person to fall directly toward or into the open tank, amplifying the hazard beyond a typical hose on the ground."}]</t>
  </si>
  <si>
    <t>Geolocation and cultural context are uncertain (likely a residential or light industrial area in a temperate region), but open underground access points are generally considered high-risk everywhere without barriers or clear warnings.</t>
  </si>
  <si>
    <t>Mixed/0066.jpg</t>
  </si>
  <si>
    <t>A snake is crossing a paved rural road bordered by vegetation and trees.</t>
  </si>
  <si>
    <t>[{"id": "obj_1", "class": "snake", "description": "Single snake extended in an S-shape on the paved road surface", "position": "center-right of the road surface, approximately mid-depth of the scene", "orientation": "body aligned roughly across the width of the road"}, {"id": "obj_2", "class": "road", "description": "Two-lane style paved rural road with no visible lane markings", "position": "occupies most of the right and central portion of the image", "orientation": "extending from foreground to background"}, {"id": "obj_3", "class": "vegetation", "description": "Grass and bushes along road shoulder, dense trees beyond", "position": "left edge of the image along the road", "orientation": "parallel to the road"}]</t>
  </si>
  <si>
    <t>[{"id": "anom_1", "related_objects": ["obj_1", "obj_2"], "type": "animal_on_roadway", "description": "A snake is present on the roadway where vehicles, cyclists, or pedestrians may travel.", "risk_score_1_to_10": 5, "risk_target": ["drivers", "pedestrians", "cyclists"], "region": {"x_center_norm": 0.68, "y_center_norm": 0.46, "width_norm": 0.23, "height_norm": 0.26}, "reasoning": "The snake on the road is an unexpected obstacle; drivers or cyclists could swerve to avoid it and lose control, and pedestrians approaching may be at risk of being bitten if the snake is venomous. Rural forested context makes wildlife more common but it is still an anomaly on the travel surface."}]</t>
  </si>
  <si>
    <t>Geolocation context: likely a rural road in a temperate region with coniferous trees; confidence low due to lack of signage or vehicles. Risk moderated because no road users are currently present, but hazard exists if traffic appears.</t>
  </si>
  <si>
    <t>Mixed/0027.jpg</t>
  </si>
  <si>
    <t>Rural or peri-urban two-lane road with a large water-filled pothole in the foreground and a car driving past.</t>
  </si>
  <si>
    <t>[{"id": "obj_1", "class": "car", "description": "Dark-colored passenger car traveling along the left lane toward the camera on the paved road.", "position": "mid-right of image, in the traffic lane nearer the camera", "orientation": "moving toward the camera, front facing viewer"}, {"id": "obj_2", "class": "roadway", "description": "Two-lane paved rural road with a dashed centerline and edge vegetation.", "position": "extends from foreground bottom to background center", "orientation": "aligned roughly from bottom-right to upper-left of the image"}, {"id": "obj_3", "class": "pothole", "description": "Large, irregular pothole filled with muddy water in the near foreground within the traffic lane.", "position": "bottom-left quadrant of the image, near the edge of the lane", "orientation": "elongated along the direction of traffic"}, {"id": "obj_4", "class": "shoulder", "description": "Gravel and soil shoulder with loose stones adjacent to the pothole.", "position": "bottom-right edge of the image next to roadway", "orientation": "parallel to the road"}, {"id": "obj_5", "class": "vegetation", "description": "Bushes and hedges lining the roadside and fields beyond.", "position": "left and right sides of the road, mainly mid to upper parts of the image", "orientation": "bordering both sides of the roadway"}]</t>
  </si>
  <si>
    <t>[{"id": "anom_1", "related_objects": ["obj_1", "obj_2", "obj_3"], "type": "large pothole in traffic lane", "description": "A large, water-filled pothole occupies a significant portion of the driving lane on a rural road, posing a hazard for vehicles traveling at speed.", "risk_score_1_to_10": 7, "risk_target": ["drivers", "vehicle_occupants", "motorcyclists", "cyclists"], "region": {"x_center_norm": 0.24, "y_center_norm": 0.71, "width_norm": 0.35, "height_norm": 0.26}, "reasoning": "The pothole is wide and deep enough to be clearly visible and filled with water, which can hide its true depth. Located in the active traffic lane, it can cause loss of control, tire or suspension damage, and is especially dangerous for two-wheeled vehicles. Rural roads often have higher travel speeds and limited lighting, increasing crash risk."}]</t>
  </si>
  <si>
    <t>Geolocation low-confidence; road markings and hedgerows suggest a temperate rural region, possibly in Europe or the UK. Main safety concern is infrastructure degradation in the wheel path.</t>
  </si>
  <si>
    <t>Mixed/0103.jpg</t>
  </si>
  <si>
    <t>Urban street in an Indian city with an auto-rickshaw stopped near the center of the lane, motorcycles parked along both sides, and pedestrians and cyclists using the street.</t>
  </si>
  <si>
    <t>[{"id": "obj_1", "class": "auto_rickshaw", "description": "Green and yellow auto-rickshaw stopped almost in the middle of the street facing the camera", "position": "foreground center, partially occupying main traffic lane", "orientation": "facing toward camera"}, {"id": "obj_2", "class": "motorcycle", "description": "Motorcycle parked on right side of street near shuttered shops", "position": "right foreground at curbline", "orientation": "angled slightly toward street"}, {"id": "obj_3", "class": "motorcycle", "description": "Motorcycles and scooters parked along left side of street", "position": "left midground near storefronts", "orientation": "generally parallel to curb"}, {"id": "obj_4", "class": "pedestrian", "description": "Person walking or standing near left edge by storefront", "position": "left foreground close to curb", "orientation": "side/back to camera"}, {"id": "obj_5", "class": "scooter_rider", "description": "Person riding scooter away from camera along center-left of roadway", "position": "midground center-left in traffic lane", "orientation": "moving away from camera"}, {"id": "obj_6", "class": "cyclist", "description": "Bicyclist riding away from camera further down the street", "position": "background center of roadway", "orientation": "moving away from camera"}, {"id": "obj_7", "class": "pedestrian", "description": "Two people sitting at a table or cart very close to the right edge of the carriageway", "position": "right midground next to curb and parked motorcycle", "orientation": "facing each other"}, {"id": "obj_8", "class": "building", "description": "Multi-story commercial and residential buildings lining both sides of the street", "position": "both sides, extending into background", "orientation": "front facades facing street"}, {"id": "obj_9", "class": "street_infrastructure", "description": "Paved roadway, sidewalks, storefronts, poles, and overhanging signage", "position": "throughout scene", "orientation": "aligned with street axis"}]</t>
  </si>
  <si>
    <t>[{"id": "anom_1", "related_objects": ["obj_1"], "type": "stopped_vehicle_in_traffic_lane", "description": "Auto-rickshaw stopped in the middle of the lane rather than close to the curb, partially obstructing the carriageway.", "risk_score_1_to_10": 4, "risk_target": ["drivers", "motorcyclists", "cyclists", "pedestrians"], "region": {"x_center_norm": 0.58, "y_center_norm": 0.63, "width_norm": 0.27, "height_norm": 0.55}, "reasoning": "The auto-rickshaw is stationary or parked near the middle of the road where moving vehicles are expected. On a relatively narrow street with mixed traffic, this can force other riders and drivers to maneuver around it, increasing collision risk, though current traffic density appears low."}, {"id": "anom_2", "related_objects": ["obj_7", "obj_2"], "type": "pedestrian_activity_in_roadway_margin", "description": "People sitting at a table or cart directly adjacent to the traffic lane with limited separation from moving vehicles.", "risk_score_1_to_10": 5, "risk_target": ["pedestrians", "cyclists", "motorcyclists"], "region": {"x_center_norm": 0.82, "y_center_norm": 0.55, "width_norm": 0.24, "height_norm": 0.37}, "reasoning": "The seating area appears to occupy space on the carriageway or right at its edge, alongside a parked motorcycle. With vehicles moving close by and little physical protection, there is moderate risk of side-swipe or loss-of-control incidents affecting seated pedestrians."}]</t>
  </si>
  <si>
    <t>Step 1 – Location inference: Signage in Latin script with Indian names, auto-rickshaw design, license plate style, and architecture strongly suggest an Indian city, medium to high confidence. Mixed street use with vehicles, parked motorcycles, and informal curbside activity is common, so anomalies are moderate rather than extreme.</t>
  </si>
  <si>
    <t>Mixed/0092.jpg</t>
  </si>
  <si>
    <t>A moose is crossing a rural curved roadway in front of an approaching minivan in a forested area.</t>
  </si>
  <si>
    <t>[{"id": "obj_1", "class": "animal", "description": "Large moose crossing the roadway from right to left in the foreground", "position": "center-front of lane, partially on right lane and shoulder", "orientation": "body roughly perpendicular to road, head facing left toward roadside"}, {"id": "obj_2", "class": "car", "description": "Dark-colored minivan approaching the moose on the right lane", "position": "right-center background of roadway, following curve", "orientation": "facing toward camera and moose, moving forward along lane"}, {"id": "obj_3", "class": "roadway", "description": "Two-lane rural paved road curving to the right with painted center and edge lines", "position": "extending from foreground bottom to background center-right", "orientation": "curving from bottom right toward upper center-right"}, {"id": "obj_4", "class": "vegetation", "description": "Grass verge and forested area along both sides of the road", "position": "left and right sides of roadway", "orientation": "bordering roadway"}]</t>
  </si>
  <si>
    <t>[{"id": "anom_1", "related_objects": ["obj_1", "obj_2"], "type": "large_animal_on_roadway", "description": "A large moose is standing and crossing directly in front of an approaching vehicle on a rural road, creating a high collision risk.", "risk_score_1_to_10": 8, "risk_target": ["drivers", "vehicle_occupants"], "region": {"x_center_norm": 0.53, "y_center_norm": 0.62, "width_norm": 0.46, "height_norm": 0.54}, "reasoning": "The moose occupies most of the lane in front of the oncoming minivan, leaving limited stopping distance, especially on a curve. A collision with such a large animal at road speed can be severe for occupants and the animal. Rural North American-style forest road context makes wildlife crossings possible but still hazardous."}]</t>
  </si>
  <si>
    <t>Likely rural North American (e.g., Canada or northern US) context inferred from the moose species, forest type, and road design; assessment medium-confidence.</t>
  </si>
  <si>
    <t>Mixed/0099.png</t>
  </si>
  <si>
    <t>Urban sidewalk and intersection with a parked car, traffic signs, and a damaged tree base area creating a tripping hazard near a crosswalk.</t>
  </si>
  <si>
    <t>[{"id": "obj_1", "class": "sidewalk", "description": "Paved pedestrian sidewalk in the foreground leading toward an intersection", "position": "occupies lower and central part of the scene", "orientation": "extends from bottom center toward mid-top"}, {"id": "obj_2", "class": "car", "description": "Grey sedan parked along the curb on the far side of the intersection", "position": "mid-right of the scene adjacent to curb", "orientation": "parallel to roadway facing left"}, {"id": "obj_3", "class": "traffic_sign", "description": "Red stop/hand sign mounted below a blue pedestrian crossing sign on a pole", "position": "left side of image near curb at start of crosswalk", "orientation": "facing toward camera and approaching traffic"}, {"id": "obj_4", "class": "crosswalk", "description": "White painted zebra crossing lines across the street", "position": "left mid of the image at junction of sidewalk and roadway", "orientation": "perpendicular to the direction of the parked car"}, {"id": "obj_5", "class": "pole", "description": "Bare metal pole without a visible sign or light near damaged ground area", "position": "near image center close to curb", "orientation": "vertical"}, {"id": "obj_6", "class": "ground_damage", "description": "Broken pavement/soil area around base of pole where a tree or structure seems removed, with uneven surface and debris", "position": "center of image at edge of sidewalk next to curb, close to crosswalk entrance", "orientation": "horizontal patch"}, {"id": "obj_7", "class": "building", "description": "Multi-story residential building with balconies and vegetation in front", "position": "background across the street", "orientation": "faces toward the street and camera"}]</t>
  </si>
  <si>
    <t>[{"id": "anom_1", "related_objects": ["obj_1", "obj_5", "obj_6", "obj_4"], "type": "trip_hazard_on_sidewalk_near_crosswalk", "description": "Damaged and uneven ground with exposed soil and debris around a pole at the edge of the sidewalk, directly in the pedestrian path leading to the crosswalk.", "risk_score_1_to_10": 6, "risk_target": ["pedestrians"], "region": {"x_center_norm": 0.47, "y_center_norm": 0.48, "width_norm": 0.25, "height_norm": 0.18}, "reasoning": "The broken area at the pole base intrudes into the walking path where pedestrians transition from sidewalk to crosswalk. In an urban environment, pedestrians expect a flat, even surface; this irregular patch with debris and level changes can cause trips, especially for elderly, distracted pedestrians, or those with mobility impairments. Its proximity to the street also increases consequence if a person falls into the roadway."}]</t>
  </si>
  <si>
    <t>Geolocation/context assessment: medium-confidence guess of a Mediterranean or Middle Eastern urban area based on architecture, vegetation, and curb/sidewalk style; specific country not inferable with certainty. No moving vehicles or pedestrians visible, so immediate dynamic risk is limited, but the infrastructure defect presents an ongoing moderate hazard.</t>
  </si>
  <si>
    <t>Mixed/0090.jpg</t>
  </si>
  <si>
    <t>A large elk with antlers is crossing a two-lane road in a forested area, with stopped cars and pedestrians very close taking photos.</t>
  </si>
  <si>
    <t>[{"id": "obj_1", "class": "elk", "description": "Large antlered elk walking across middle of the road from right to left", "position": "center-right of the roadway", "orientation": "body side-on, head facing left"}, {"id": "obj_2", "class": "car", "description": "White pickup truck in left foreground of image, partially visible, stopped", "position": "front-left edge of scene, occupying left lane shoulder", "orientation": "facing into scene toward background"}, {"id": "obj_3", "class": "car", "description": "Dark SUV parked or stopped on right side of road near elk", "position": "right side of roadway near elk", "orientation": "facing into scene toward background"}, {"id": "obj_4", "class": "car", "description": "Several cars in single file in background with headlights on, stopped", "position": "center background along road", "orientation": "facing toward camera"}, {"id": "obj_5", "class": "pedestrian", "description": "Person standing on left edge of road photographing elk", "position": "left side of road, near verge", "orientation": "facing toward elk in road center"}, {"id": "obj_6", "class": "pedestrian", "description": "Person in red checkered shirt on right side of road taking photo of elk", "position": "right side of road close to elk", "orientation": "facing toward elk in road"}, {"id": "obj_7", "class": "pedestrian", "description": "Additional pedestrians near vehicles on right side observing elk", "position": "right roadside near parked vehicles", "orientation": "generally facing elk"}, {"id": "obj_8", "class": "road", "description": "Two-lane paved road through forested area", "position": "runs from foreground to background through center of image", "orientation": "aligned front-to-back in scene"}, {"id": "obj_9", "class": "vegetation", "description": "Dense trees and greenery along both sides of the road", "position": "background and sides of road", "orientation": "stationary natural surroundings"}]</t>
  </si>
  <si>
    <t>[{"id": "anom_1", "related_objects": ["obj_1", "obj_2", "obj_3", "obj_4"], "type": "large wildlife on roadway", "description": "A large elk with antlers is occupying and crossing the active roadway among vehicles.", "risk_score_1_to_10": 8, "risk_target": ["drivers", "vehicle occupants", "pedestrians"], "region": {"x_center_norm": 0.63, "y_center_norm": 0.54, "width_norm": 0.4, "height_norm": 0.42}, "reasoning": "The elk is a large, unpredictable animal in the middle of a traffic lane; any sudden movement or vehicle motion could cause a serious collision, especially with multiple stopped cars in close proximity."}, {"id": "anom_2", "related_objects": ["obj_1", "obj_5", "obj_6", "obj_7"], "type": "pedestrians in close proximity to large wild animal", "description": "Pedestrians are standing very close to the elk on both sides of the road, some focused on taking photos rather than maintaining distance or situational awareness.", "risk_score_1_to_10": 9, "risk_target": ["pedestrians"], "region": {"x_center_norm": 0.72, "y_center_norm": 0.55, "width_norm": 0.52, "height_norm": 0.5}, "reasoning": "The elk is large and could charge or react unpredictably, particularly if startled by people or vehicles. People are within a short distance with limited escape options on a narrow road, creating high potential for serious injury."}, {"id": "anom_3", "related_objects": ["obj_2", "obj_3", "obj_4", "obj_5", "obj_6"], "type": "stopped vehicles and pedestrians mixing on roadway", "description": "Vehicles are stopped on the travel lanes while pedestrians are standing on or near the roadway taking photos, creating an atypical and distracted road environment.", "risk_score_1_to_10": 6, "risk_target": ["drivers", "pedestrians"], "region": {"x_center_norm": 0.5, "y_center_norm": 0.62, "width_norm": 0.9, "height_norm": 0.55}, "reasoning": "Drivers approaching from either direction may not anticipate the stopped queue and people on the road. Combined with distraction from observing the elk, there is a moderate risk of rear-end collisions or vehicles striking pedestrians if any driver misjudges stopping distance."}]</t>
  </si>
  <si>
    <t>Likely a forested roadway in a North American national or regional park; wildlife viewing is expected but still presents significant safety hazards when people and vehicles remain so close to a large animal in the lane.</t>
  </si>
  <si>
    <t>Mixed/0001.png</t>
  </si>
  <si>
    <t>Nighttime urban street with several cars and large yard waste and a plastic container obstructing part of the sidewalk near a crosswalk.</t>
  </si>
  <si>
    <t>[{"id": "obj_1", "class": "sidewalk", "description": "Brick-paved sidewalk running from foreground to background on the right side of the street", "position": "right side of image, foreground to mid-ground", "orientation": "parallel to street"}, {"id": "obj_2", "class": "street", "description": "Two-way urban street with painted pedestrian crosswalk and curb", "position": "left and center of image", "orientation": "horizontal across image"}, {"id": "obj_3", "class": "car", "description": "Blue SUV stopped or parked near the crosswalk facing away from camera", "position": "mid-right of image near crosswalk", "orientation": "facing away from viewer along street"}, {"id": "obj_4", "class": "car", "description": "Yellow car parked on opposite side of the street behind the blue SUV", "position": "mid-left background", "orientation": "parallel to curb"}, {"id": "obj_5", "class": "car", "description": "Small dark car parked at curb farther back on left side", "position": "left background", "orientation": "parallel to curb"}, {"id": "obj_6", "class": "traffic_sign", "description": "No-turn or restriction sign on pole at curb edge near crosswalk", "position": "right side near curb", "orientation": "sign facing street"}, {"id": "obj_7", "class": "debris", "description": "Pile of cut branches, leaves, and yard waste on the sidewalk near the curb", "position": "right foreground along curb on sidewalk", "orientation": "low, elongated pile parallel to curb"}, {"id": "obj_8", "class": "container", "description": "Light-colored plastic container or bin lying sideways on top of the yard waste pile", "position": "right foreground, partially on sidewalk near curb", "orientation": "on its side"}, {"id": "obj_9", "class": "building", "description": "Multi-story residential or mixed-use buildings with balconies and shop fronts", "position": "background across the street", "orientation": "facing street"}]</t>
  </si>
  <si>
    <t>[{"id": "anom_1", "related_objects": ["obj_1", "obj_7", "obj_8"], "type": "sidewalk_obstruction", "description": "Large pile of branches and a plastic container obstructing a substantial portion of the sidewalk near the curb and close to a pedestrian crossing.", "risk_score_1_to_10": 6, "risk_target": ["pedestrians"], "region": {"x_center_norm": 0.33, "y_center_norm": 0.63, "width_norm": 0.4, "height_norm": 0.32}, "reasoning": "The yard waste pile and container occupy much of the walking path on the sidewalk, forcing pedestrians, including those with mobility impairments or strollers, to divert toward the curb or street near a crosswalk. At night, visibility is reduced, increasing trip or fall risk and potential conflicts with vehicles if pedestrians step into the roadway."}]</t>
  </si>
  <si>
    <t>Step 1 – Likely a Mediterranean or Middle Eastern urban area (e.g., Israel or Southern Europe) inferred from building style, brick sidewalk, curb paint colors, and car plates; confidence: low-to-medium. Step 2 – Scene type: roadway/traffic, sidewalk/pedestrian zone, residential/mixed urban. No other clear anomalies in vehicle behavior or infrastructure condition are visible.</t>
  </si>
  <si>
    <t>Mixed/0026.jpg</t>
  </si>
  <si>
    <t>Rural or peri-urban road in cold climate with multiple large water-filled potholes and deteriorated asphalt, some snow along the sides.</t>
  </si>
  <si>
    <t>[{"id": "obj_1", "class": "roadway", "description": "Two-lane asphalt road extending into distance, surface visibly worn and patchy", "position": "occupies most of the frame from foreground to background", "orientation": "aligned roughly from bottom center toward upper left"}, {"id": "obj_2", "class": "pothole", "description": "Large water-filled pothole in foreground near right side of lane", "position": "lower right quadrant of road surface", "orientation": "irregular shape, spanning across travel path"}, {"id": "obj_3", "class": "pothole", "description": "Series of medium water-filled potholes behind main one, roughly in the wheel tracks", "position": "center to upper middle of image on right half of lane", "orientation": "aligned roughly along direction of travel"}, {"id": "obj_4", "class": "pothole", "description": "Smaller potholes and cracked asphalt along left side of lane", "position": "lower left to mid-left side of road", "orientation": "scattered along road edge"}, {"id": "obj_5", "class": "snowbank", "description": "Snow and slush accumulated along roadside shoulders", "position": "far left and far right edges near horizon", "orientation": "parallel to road edges"}, {"id": "obj_6", "class": "road_shoulder", "description": "Unpaved and partially eroded shoulder mixed with gravel and debris", "position": "left edge of the road surface from foreground backward", "orientation": "parallel to main roadway"}]</t>
  </si>
  <si>
    <t>[{"id": "anom_1", "related_objects": ["obj_1", "obj_2", "obj_3", "obj_4"], "type": "severely_deteriorated_road_surface", "description": "Multiple deep, water-filled potholes and extensive cracking across the primary travel path of the road, indicating advanced pavement failure.", "risk_score_1_to_10": 7, "risk_target": ["drivers", "motorcyclists", "cyclists"], "region": {"x_center_norm": 0.52, "y_center_norm": 0.55, "width_norm": 0.7, "height_norm": 0.7}, "reasoning": "The lane where vehicles would travel is heavily damaged with large potholes filled with water, obscuring true depth. This can cause loss of control, tire or suspension damage, swerving into opposing traffic or off the roadway, especially at night or in wet/icy conditions. The pattern of damage indicates the hazard is sustained along a stretch of road, not isolated."}]</t>
  </si>
  <si>
    <t>Geolocation/context inference: medium-confidence that this is a cold-climate region (eastern Europe, Russia, or northern North America) based on snow, road style, and general environment, but exact country is uncertain. Regardless of locale, such extensive potholing on a main lane is a significant safety issue for road users.</t>
  </si>
  <si>
    <t>Mixed/0094.png</t>
  </si>
  <si>
    <t>Urban sidewalk alongside a street with parked cars, utility boxes, manhole covers and some uneven pavement.</t>
  </si>
  <si>
    <t>[{"id": "obj_1", "class": "sidewalk", "description": "Paved pedestrian sidewalk in the foreground and extending into the background along the right side of the street", "position": "occupies most of the lower and central part of the image", "orientation": "aligned roughly from bottom to top of the frame"}, {"id": "obj_2", "class": "road", "description": "Asphalt roadway with parked cars along the curb", "position": "left side and mid-background of the image", "orientation": "runs roughly bottom-left to top-center"}, {"id": "obj_3", "class": "car", "description": "White car parked along the curb closest to the camera", "position": "left-center of the image, adjacent to sidewalk", "orientation": "parked facing away from the camera along the street"}, {"id": "obj_4", "class": "car", "description": "White SUV parked ahead of the first white car", "position": "center-right background along the curb", "orientation": "parked facing away from the camera"}, {"id": "obj_5", "class": "car", "description": "Red car parked further down the street", "position": "upper-left background along the curb", "orientation": "parked facing away from the camera"}, {"id": "obj_6", "class": "utility_box", "description": "Rectangular street-side utility box mounted on a low stone wall", "position": "right-center foreground on the sidewalk edge", "orientation": "front face toward the camera"}, {"id": "obj_7", "class": "fire_hydrant", "description": "Red fire hydrant adjacent to sidewalk near the utility box", "position": "right-center midground next to the curb", "orientation": "upright"}, {"id": "obj_8", "class": "pole", "description": "Striped vertical pole on the sidewalk near the curb", "position": "left-center foreground near curb line", "orientation": "vertical"}, {"id": "obj_9", "class": "manhole_cover", "description": "Circular manhole cover set within concrete patch on the sidewalk, showing cracking and rough edges", "position": "lower-center of the image", "orientation": "horizontal on ground"}, {"id": "obj_10", "class": "manhole_cover", "description": "Second circular manhole cover slightly above the first, also within a rough patched area", "position": "mid-lower center of the image", "orientation": "horizontal on ground"}, {"id": "obj_11", "class": "curb_bike_lane_edge", "description": "Raised curb with a narrow red-painted strip suggesting a bike lane or buffer along the roadway", "position": "left side of the sidewalk adjacent to parked cars", "orientation": "runs from bottom-left toward top-center"}, {"id": "obj_12", "class": "building", "description": "Multi-story urban residential or office buildings lining the street", "position": "left and upper background", "orientation": "faces the street"}, {"id": "obj_13", "class": "tree", "description": "Street trees providing shade over the sidewalk", "position": "upper-right and upper-center", "orientation": "vertical trunks with canopy extending over sidewalk"}]</t>
  </si>
  <si>
    <t>[{"id": "anom_1", "related_objects": ["obj_9", "obj_10", "obj_1"], "type": "uneven_damaged_sidewalk_surface", "description": "Area around two manhole covers on the sidewalk is patched and uneven, with rough, broken or subsided concrete that creates tripping hazards for pedestrians.", "risk_score_1_to_10": 5, "risk_target": ["pedestrians"], "region": {"x_center_norm": 0.46, "y_center_norm": 0.66, "width_norm": 0.4, "height_norm": 0.33}, "reasoning": "The pavement surrounding both manhole covers is visibly irregular compared to the rest of the brick sidewalk, with rough concrete patches and small level differences. On a pedestrian route this increases the chance of trips or missteps, especially for elderly people, those with mobility impairments, or in low lighting, representing a moderate but not extreme risk."}]</t>
  </si>
  <si>
    <t>Step 1 – Geolocation &amp; Context: License plate style and streetscape suggest a Middle Eastern or Mediterranean urban area, possibly Israel, but this is low-confidence. The scene is an urban sidewalk beside a low-speed street with parked cars; primary safety concern is pedestrian trip hazard from the degraded sidewalk surface.</t>
  </si>
  <si>
    <t>Mixed/0043.jpg</t>
  </si>
  <si>
    <t>Tree-lined two-lane rural road extending into the distance with no visible vehicles or pedestrians.</t>
  </si>
  <si>
    <t>[{"id": "obj_1", "class": "road", "description": "Straight two-lane paved road with a solid white centerline and edge lines, stretching into the distance", "position": "center of image, extending from bottom foreground to top center background", "orientation": "aligned roughly vertically in the image, heading away from the viewer"}, {"id": "obj_2", "class": "trees", "description": "Dense rows of mature trees with green foliage on both sides of the road forming a partial canopy", "position": "left and right sides of the road along the full visible length", "orientation": "trunks vertical, branches extending over the road"}, {"id": "obj_3", "class": "vegetation", "description": "Grass and low vegetation along road shoulders beneath the trees", "position": "narrow strips between road edges and tree lines on both sides", "orientation": "ground cover parallel to road"}]</t>
  </si>
  <si>
    <t>Step 1 – Geolocation &amp; Context: Likely a rural or semi-rural road in a temperate region (e.g., Europe or North America), inferred from deciduous trees, road markings (solid white centerline and edge lines), and general design; confidence: low-medium. Assumes standard rural driving norms. Step 2 – Scene Type: Roadway / traffic environment; Natural-urban interface (forest-lined rural road). Step 3 – No vehicles, pedestrians, or explicit hazards visible. Trees close to the carriageway and canopy shade could imply typical rural-road risks such as limited visibility or wildlife crossing, but no specific observable anomaly is evident in this single frame, so no concrete abnormality is recorded.</t>
  </si>
  <si>
    <t>Mixed/0047.jpg</t>
  </si>
  <si>
    <t>Wet paved sidewalk or pedestrian path with a circular manhole cover slightly recessed in the surface.</t>
  </si>
  <si>
    <t>[{"id": "obj_1", "class": "sidewalk", "description": "Brick or block-paved walkway extending into the background, wet from recent rain", "position": "covers most of the frame from foreground to background", "orientation": "aligned roughly from lower-left foreground to upper-right background"}, {"id": "obj_2", "class": "curb", "description": "Raised concrete curb edge along the left side of the paved surface", "position": "left edge of image, running top to bottom", "orientation": "longitudinal along scene"}, {"id": "obj_3", "class": "manhole_cover", "description": "Round metal manhole cover with concentric ring pattern, wet and seated slightly below surrounding pavers", "position": "lower-left quadrant, inset in the paved sidewalk", "orientation": "horizontal surface"}]</t>
  </si>
  <si>
    <t>[{"id": "anom_1", "related_objects": ["obj_1", "obj_3"], "type": "trip_slip_hazard", "description": "Wet, shiny surface and a slightly recessed manhole cover that can create a slip or trip hazard for pedestrians, especially in rainy conditions.", "risk_score_1_to_10": 4, "risk_target": ["pedestrians"], "region": {"x_center_norm": 0.32, "y_center_norm": 0.63, "width_norm": 0.45, "height_norm": 0.35}, "reasoning": "The pavement is visibly wet and reflective, indicating reduced friction. The manhole cover appears a bit lower than the adjacent pavers, forming an uneven surface on a walking path. This combination can lead to slips or trips but does not present an imminent, extreme danger in normal pedestrian use."}]</t>
  </si>
  <si>
    <t>Geolocation confidence is low; the scene is likely an urban European-style pedestrian area based on the block paving and curb design. Risk is moderate for pedestrians in wet weather but otherwise typical for such infrastructure.</t>
  </si>
  <si>
    <t>Mixed/0051.jpg</t>
  </si>
  <si>
    <t>Straight, empty paved road through flat open landscape under cloudy sky, with colored shoulders and no visible traffic or pedestrians.</t>
  </si>
  <si>
    <t>[{"id": "obj_1", "class": "roadway", "description": "Two-lane paved road with central yellow line, extending straight into the distance", "position": "center of image, receding from foreground bottom to horizon", "orientation": "aligned roughly vertically in the image, pointing away from viewer"}, {"id": "obj_2", "class": "road_markings", "description": "Solid yellow centerline and white edge lines on both sides", "position": "along the middle and edges of the road surface", "orientation": "parallel to road direction"}, {"id": "obj_3", "class": "shoulder", "description": "Red-colored paved shoulders on both sides of the main lanes", "position": "immediately adjacent to both sides of the main road, left and right", "orientation": "parallel to road direction"}, {"id": "obj_4", "class": "barrier", "description": "Low light-colored barrier or curb separating shoulders from surrounding land or water", "position": "running along both sides beyond the red shoulders", "orientation": "parallel to road direction"}, {"id": "obj_5", "class": "sign", "description": "Small blue roadside sign in the distance", "position": "left side near the horizon", "orientation": "facing approaching traffic"}, {"id": "obj_6", "class": "vegetation", "description": "Flat green grassy terrain flanking the road on both sides in the distance", "position": "left and right of barriers toward horizon", "orientation": "horizontal expanse"}, {"id": "obj_7", "class": "sky", "description": "Cloudy sky with layered clouds covering most of the upper frame", "position": "top half of image", "orientation": "n/a"}]</t>
  </si>
  <si>
    <t>Step 1 – Geolocation &amp; Context: Likely a modern rural or peri-urban roadway in a flat region, possibly in North America or another country using yellow centerlines. Confidence: low, as there are few distinguishing cultural features. Scene Type: roadway/traffic environment in an open, non-urban setting. No vehicles, pedestrians, or immediate hazards are visible; infrastructure appears orderly and well-marked, so no specific anomalies or abnormal risks are identified from this single frame.</t>
  </si>
  <si>
    <t>Mixed/0070.png</t>
  </si>
  <si>
    <t>Coastal urban beach with waves, palm-lined promenade, sparse pedestrians, and adjacent buildings under overcast or windy conditions.</t>
  </si>
  <si>
    <t>[{"id": "obj_1", "class": "sea", "description": "Open sea with visible waves and whitecaps on the right side of the image", "position": "right half, extending from mid-height to top edge", "orientation": "waves approaching roughly perpendicular to shoreline"}, {"id": "obj_2", "class": "beach", "description": "Wide sandy beach separating sea from promenade and buildings", "position": "middle horizontal band from left to right", "orientation": "runs diagonally from lower right toward upper left"}, {"id": "obj_3", "class": "pedestrian", "description": "Single person walking or standing near waterline on mid-beach", "position": "center of image, close to shoreline", "orientation": "facing along the shore"}, {"id": "obj_4", "class": "pedestrian", "description": "Person walking farther up the beach near the upper center shoreline", "position": "upper middle, close to waterline", "orientation": "facing along the shore"}, {"id": "obj_5", "class": "lifeguard_tower", "description": "Unoccupied lifeguard tower near lower right beach area", "position": "lower right quadrant, just above promenade", "orientation": "facing sea"}, {"id": "obj_6", "class": "lifeguard_tower", "description": "Small tower or lookout further up the beach toward left", "position": "mid-left beach near shoreline", "orientation": "facing sea"}, {"id": "obj_7", "class": "promenade", "description": "Palm-lined pedestrian promenade parallel to the beach", "position": "lower third of image, running left to right", "orientation": "parallel to shoreline"}, {"id": "obj_8", "class": "buildings", "description": "Multi-story residential or hotel buildings near the shore", "position": "left side and upper left background", "orientation": "facing toward sea"}, {"id": "obj_9", "class": "palm_trees", "description": "Rows of palm trees between promenade and beach and within urban area", "position": "lower half, concentrated near promenade", "orientation": "varied; some slightly bent from wind"}]</t>
  </si>
  <si>
    <t>Step 1 – Likely a Mediterranean coastal city (e.g., Southern Europe or North Africa) based on architecture, palm-lined promenade, and sea state; confidence medium. Conditions show moderate surf but no visible swimmers or hazardous behaviors, and pedestrians are far from the water. No clear signs of flooding, structural damage, or crowding. Thus no specific anomaly or elevated risk can be identified from this single frame.</t>
  </si>
  <si>
    <t>Mixed/0046.jpg</t>
  </si>
  <si>
    <t>Close-up of a pedestrian crosswalk with a missing circular manhole/utility cover leaving an open hole in the roadway surface.</t>
  </si>
  <si>
    <t>[{"id": "obj_1", "class": "crosswalk", "description": "Painted zebra-style pedestrian crosswalk stripes running diagonally across the image", "position": "covers most of the scene from left to right", "orientation": "stripes roughly diagonal from upper left to lower right"}, {"id": "obj_2", "class": "manhole_cover_frame", "description": "Circular metal manhole or utility cover frame without its center plate, leaving a hole in the pavement", "position": "lower-right quadrant of the image, within the crosswalk area", "orientation": "horizontal on ground"}, {"id": "obj_3", "class": "road_surface", "description": "Asphalt road surface with some cracking near the crosswalk and manhole frame", "position": "background and base of entire scene", "orientation": "horizontal"}]</t>
  </si>
  <si>
    <t>[{"id": "anom_1", "related_objects": ["obj_1", "obj_2"], "type": "open_manhole_in_crosswalk", "description": "The manhole or utility cover is missing its center, creating an exposed circular hole directly in the pedestrian crosswalk.", "risk_score_1_to_10": 8, "risk_target": ["pedestrians", "cyclists", "drivers"], "region": {"x_center_norm": 0.72, "y_center_norm": 0.74, "width_norm": 0.28, "height_norm": 0.38}, "reasoning": "An open or partially open manhole in the middle of a crosswalk poses a high tripping and falling hazard to pedestrians who expect a flat walking surface and may not see the hole in time, especially at night or in poor visibility. Cyclists or small vehicles crossing could also be destabilized. The location within an active pedestrian zone substantially elevates risk."}]</t>
  </si>
  <si>
    <t>Geolocation unknown; appears to be a generic urban road crosswalk. Assessment based purely on visible infrastructure. The hole depth is not clearly visible but any significant vertical drop in this location is hazardous.</t>
  </si>
  <si>
    <t>Mixed/0101.png</t>
  </si>
  <si>
    <t>Urban residential street with several parked cars along a curb and a sidewalk in front of mid-rise apartment buildings.</t>
  </si>
  <si>
    <t>[{"id": "obj_1", "class": "car", "description": "Gray sedan parked on the left side of the image close to the curb, partially obscured by a pole.", "position": "left side of frame, adjacent to curb and sidewalk", "orientation": "aligned parallel to curb, facing right"}, {"id": "obj_2", "class": "car", "description": "Dark blue compact car parked very closely behind the gray sedan with minimal gap.", "position": "center-right, adjacent to curb", "orientation": "aligned parallel to curb, facing left"}, {"id": "obj_3", "class": "car", "description": "Black SUV on the roadway behind the curbside cars, appearing to move along the street.", "position": "mid-background, center-left", "orientation": "aligned with street, facing right"}, {"id": "obj_4", "class": "pole", "description": "Vertical metal pole on sidewalk near the parked gray sedan.", "position": "left-center foreground on sidewalk edge", "orientation": "vertical"}, {"id": "obj_5", "class": "building", "description": "Residential apartment buildings with balconies and windows in the background.", "position": "entire upper portion of image", "orientation": "façade facing street"}, {"id": "obj_6", "class": "sidewalk", "description": "Paved pedestrian sidewalk with red and gray tiles in the foreground.", "position": "bottom and mid foreground of image, parallel to street", "orientation": "horizontal across frame"}, {"id": "obj_7", "class": "tree", "description": "Large leafy tree between curb and apartment building.", "position": "center-right background", "orientation": "upright"}, {"id": "obj_8", "class": "flag", "description": "Flag mounted on a building, resembling a national flag with blue and white colors.", "position": "upper-left, attached to building façade", "orientation": "hanging outward"}]</t>
  </si>
  <si>
    <t>Step 1 – Likely location is an urban residential street in Israel, inferred from the building style, Hebrew-like signage on the parked car’s dashboard, yellow license plates with black characters, and a blue-and-white flag similar to the Israeli national flag. Confidence: high. No evident traffic, environmental, or infrastructure anomalies are visible in this single frame; parked cars and sidewalk appear typical for this context.</t>
  </si>
  <si>
    <t>Mixed/0012.jpg</t>
  </si>
  <si>
    <t>Open, uncovered manhole in a paved street or sidewalk surface.</t>
  </si>
  <si>
    <t>[{"id": "obj_1", "class": "manhole_opening", "description": "Circular manhole ring with no cover, exposing a deep dark shaft below", "position": "center of paved surface", "orientation": "vertical opening on horizontal ground"}, {"id": "obj_2", "class": "paved_surface", "description": "Asphalt or concrete pavement surrounding the open manhole", "position": "fills entire frame around central hole", "orientation": "horizontal ground plane"}]</t>
  </si>
  <si>
    <t>[{"id": "anom_1", "related_objects": ["obj_1"], "type": "open_manhole_unprotected", "description": "Manhole is uncovered with no visible barriers, warning signs, or cover, creating a fall hazard for pedestrians, cyclists, and vehicles.", "risk_score_1_to_10": 9, "risk_target": ["pedestrians", "cyclists", "drivers"], "region": {"x_center_norm": 0.5, "y_center_norm": 0.5, "width_norm": 0.45, "height_norm": 0.7}, "reasoning": "An open manhole on a traffic or pedestrian surface is highly abnormal; without a cover or barricades, anyone passing over it could fall into the shaft, leading to severe injury or worse. The hole is large enough for a person or bicycle wheel to drop into, and there are no mitigating protections visible."}]</t>
  </si>
  <si>
    <t>Geolocation uncertain; paved surface and typical manhole design are common globally, so risk assessment is context-agnostic. Scene type: roadway or sidewalk in an urban environment.</t>
  </si>
  <si>
    <t>Mixed/0020.jpg</t>
  </si>
  <si>
    <t>Close-up of a pothole filled with water on an asphalt bicycle lane marked with green paint and a bike symbol.</t>
  </si>
  <si>
    <t>[{"id": "obj_1", "class": "road_surface", "description": "Asphalt surface with green-painted bicycle lane and white bike symbol on the left side of the image", "position": "covers most of the left and lower parts of the scene", "orientation": "flat horizontal ground"}, {"id": "obj_2", "class": "pothole", "description": "Irregularly shaped pothole filled with muddy water in the asphalt, encroaching into the painted bike lane", "position": "right-center of the image, partly overlapping bicycle lane border", "orientation": "depression in the ground"}]</t>
  </si>
  <si>
    <t>[{"id": "anom_1", "related_objects": ["obj_1", "obj_2"], "type": "damaged_infrastructure_pothole", "description": "Water-filled pothole in or directly beside a marked bicycle lane, creating a localized but significant hazard for cyclists.", "risk_score_1_to_10": 6, "risk_target": ["cyclists", "scooter riders"], "region": {"x_center_norm": 0.71, "y_center_norm": 0.54, "width_norm": 0.27, "height_norm": 0.4}, "reasoning": "The presence of a sizable, water-filled pothole where bicycles are expected to travel can cause loss of control, falls, or evasive maneuvers into adjacent traffic or obstacles. The water obscures the depth and edges, increasing risk, though the hazard is localized to a small area of the lane."}]</t>
  </si>
  <si>
    <t>Geolocation is uncertain; markings and infrastructure are consistent with urban bicycle lanes in many regions. Risk level assumes this lane is normally used at typical urban cycling speeds.</t>
  </si>
  <si>
    <t>Mixed/0106.jpg</t>
  </si>
  <si>
    <t>Narrow historic urban street, likely in India, with motorcycles passing close to cows lying in the roadway and several parked motorcycles along the sides.</t>
  </si>
  <si>
    <t>[{"id": "obj_1", "class": "motorcycle", "description": "Moving motorcycle with male rider near the left-center of the street, heading toward the camera", "position": "left-center of roadway", "orientation": "traveling toward foreground, slightly angled left"}, {"id": "obj_2", "class": "pedestrian", "description": "Standing pedestrian in dark top and red pants further down the street", "position": "center-right mid-background of roadway", "orientation": "facing slightly toward the left side of the street"}, {"id": "obj_3", "class": "animal_cow", "description": "Two cows lying on the roadway near the right-center, partially blocking the lane", "position": "right-center of roadway", "orientation": "lying parallel to street, facing left"}, {"id": "obj_4", "class": "animal_feces", "description": "Pile of animal droppings on the road surface in front of cows", "position": "center-right foreground of roadway", "orientation": "on ground"}, {"id": "obj_5", "class": "motorcycle", "description": "Parked motorcycles lined along the right side of the street", "position": "right edge of roadway, extending into background", "orientation": "parallel to street, mostly facing away from camera"}, {"id": "obj_6", "class": "motorcycle", "description": "Parked motorcycles along the left side near buildings", "position": "left side background of roadway", "orientation": "parallel to street"}, {"id": "obj_7", "class": "building", "description": "Ornate stone buildings with balconies and arches on both sides of the narrow street", "position": "both sides of scene", "orientation": "aligned along street"}]</t>
  </si>
  <si>
    <t>[{"id": "anom_1", "related_objects": ["obj_1", "obj_3"], "type": "animals_in_traffic_lane", "description": "Two cows lying in the middle of a narrow vehicular lane, forcing motorcycles to maneuver closely around them.", "risk_score_1_to_10": 6, "risk_target": ["drivers", "pedestrians"], "region": {"x_center_norm": 0.64, "y_center_norm": 0.54, "width_norm": 0.32, "height_norm": 0.35}, "reasoning": "The cows occupy much of the usable roadway in a constrained alley, leaving little room for the approaching motorcycle to pass and increasing collision risk. While animals on streets can be common in such urban areas, their position here still presents a moderate hazard, especially if they move unexpectedly."}, {"id": "anom_2", "related_objects": ["obj_1", "obj_4"], "type": "slip_contamination_on_road", "description": "Animal droppings located in the motorcycle path on the roadway.", "risk_score_1_to_10": 4, "risk_target": ["drivers", "pedestrians"], "region": {"x_center_norm": 0.55, "y_center_norm": 0.68, "width_norm": 0.06, "height_norm": 0.07}, "reasoning": "The droppings can reduce traction for two-wheelers and create a slip hazard for pedestrians. Given low vehicle speed in the alley, the risk is mild to moderate but still relevant."}]</t>
  </si>
  <si>
    <t>Location inference: likely a historic urban street in India (medium confidence) based on Hindi script on posters, motorcycles, cows in street, and sandstone architecture. Risks are contextually common but still safety-relevant due to very limited maneuvering space.</t>
  </si>
  <si>
    <t>Mixed/0097.png</t>
  </si>
  <si>
    <t>Urban sidewalk with a designated blue-marked parking box containing a rental e-scooter near a bus stop and tactile paving strip.</t>
  </si>
  <si>
    <t>[{"id": "obj_1", "class": "electric_scooter", "description": "Shared rental e-scooter standing upright within a blue square marking on the sidewalk, slightly angled toward the right.", "position": "foreground center of sidewalk inside painted blue box", "orientation": "leaning slightly to the right, facing away from camera"}, {"id": "obj_2", "class": "bus_stop_shelter", "description": "Covered bus stop with bench, route signs, and advertisement panel.", "position": "midground center-left along edge of sidewalk", "orientation": "parallel to street, facing sidewalk and road"}, {"id": "obj_3", "class": "tactile_paving", "description": "Yellow tactile paving strip crossing the sidewalk in front of the bus stop, likely for visually impaired pedestrians.", "position": "midground horizontally across sidewalk behind scooter and before bus stop", "orientation": "perpendicular to path of pedestrian travel"}, {"id": "obj_4", "class": "building_facade", "description": "Adjacent building wall with pipes and vegetation above the bus stop.", "position": "right and upper background", "orientation": "vertical facade along sidewalk"}, {"id": "obj_5", "class": "advertising_board", "description": "Poster board at bus stop with text in Hebrew.", "position": "midground left within bus stop shelter", "orientation": "facing toward sidewalk and street"}]</t>
  </si>
  <si>
    <t>Step 1 – Geolocation &amp; context: Text on signage appears to be in Hebrew and the bus stop design matches common Israeli urban infrastructure; this suggests an Israeli city environment (medium-confidence). Climate and vegetation fit a warm Mediterranean urban setting. Step 2 – Scene type: Sidewalk/pedestrian zone and public transport stop within a mixed urban area. Step 3–5 – The scooter is parked neatly inside a clearly marked blue box, away from the tactile paving strip and not blocking the bus stop entrance or main pedestrian flow. No traffic, crowding, debris, or visible infrastructure damage is present. Thus, no unusual hazards or anomalies are evident beyond the ordinary low-level risk associated with normal sidewalk use and transit stops.</t>
  </si>
  <si>
    <t>Mixed/0104.jpg</t>
  </si>
  <si>
    <t>Crowded urban street market with dense mix of pedestrians, motorcycles, rickshaws, and horse cart under overhead tarps and tangled utility cables.</t>
  </si>
  <si>
    <t>[{"id": "obj_1", "class": "motorcycle", "description": "Motorcycle with male rider in pink shirt and young passenger, near bottom center moving toward camera", "position": "foreground center of roadway", "orientation": "facing toward viewer"}, {"id": "obj_2", "class": "motorcycle", "description": "Motorcycle with rider in blue shirt wearing mask at bottom left, moving toward camera", "position": "foreground left of roadway", "orientation": "facing toward viewer"}, {"id": "obj_3", "class": "rickshaw", "description": "Red motorized rickshaw on left side among pedestrians", "position": "midground left of roadway", "orientation": "facing away from viewer"}, {"id": "obj_4", "class": "horse_cart", "description": "Horse-drawn cart in middle distance with driver and passengers amid traffic", "position": "midground center of roadway", "orientation": "facing toward viewer"}, {"id": "obj_5", "class": "car", "description": "White vehicle in central background caught in crowd", "position": "background center of roadway", "orientation": "facing toward viewer"}, {"id": "obj_6", "class": "pedestrians", "description": "Dense crowd of people walking in both directions throughout street", "position": "throughout scene, especially center and right of roadway", "orientation": "varied"}, {"id": "obj_7", "class": "overhead_tarp", "description": "Large blue and black tarps strung across street above traffic and people", "position": "upper half of image spanning left to right", "orientation": "horizontally across street"}, {"id": "obj_8", "class": "utility_cables", "description": "Dense bundle of overhead electrical/communication cables along building facades", "position": "upper left and mid-left, running along buildings", "orientation": "mostly horizontal along street"}, {"id": "obj_9", "class": "street_market_stalls", "description": "Shops and street stalls with hanging clothes and goods on both sides", "position": "left and right edges of scene", "orientation": "facing into street"}, {"id": "obj_10", "class": "child", "description": "Child in yellow shirt and red pants standing in roadway near traffic", "position": "lower-right midground in the middle of the street", "orientation": "back to camera, facing left"}]</t>
  </si>
  <si>
    <t>[{"id": "anom_1", "related_objects": ["obj_1", "obj_2", "obj_3", "obj_4", "obj_5", "obj_6", "obj_10"], "type": "mixed_traffic_with_pedestrians_and_animals", "description": "Motorcycles, a car, rickshaw, and a horse cart are moving through a very crowded pedestrian market street with minimal separation; a child stands in the middle of the roadway close to vehicles.", "risk_score_1_to_10": 7, "risk_target": ["pedestrians", "drivers", "cyclists"], "region": {"x_center_norm": 0.5, "y_center_norm": 0.7, "width_norm": 0.85, "height_norm": 0.45}, "reasoning": "In a narrow bazaar-like street, vehicles share limited space with dense foot traffic and a horse cart, increasing collision risk, especially for vulnerable pedestrians like the child standing amid moving vehicles. Sudden stops or animal behavior could easily cause crashes or trampling."}, {"id": "anom_2", "related_objects": ["obj_7", "obj_8"], "type": "overhead_cable_and_tarp_hazard", "description": "Large sagging tarps are hung close to a dense web of overhead utility cables, which appear disorganized and possibly overloaded.", "risk_score_1_to_10": 5, "risk_target": ["general_civilians"], "region": {"x_center_norm": 0.38, "y_center_norm": 0.25, "width_norm": 0.76, "height_norm": 0.5}, "reasoning": "In dense older urban areas this kind of cabling is common, but heavy tarps rubbing or pulling on cables can increase risk of mechanical failure, falling objects, or electrical faults, especially in wind or rain. Passersby below could be injured if cables or supports fail."}]</t>
  </si>
  <si>
    <t>Likely an Indian urban market street (medium-confidence, inferred from dress, vehicles, and density). High crowding with mixed motorized and animal traffic is somewhat typical for such bazaars but still poses significant collision and trampling risk.</t>
  </si>
  <si>
    <t>Mixed/0042.jpg</t>
  </si>
  <si>
    <t>Rural two-lane highway with light traffic, including a motorcycle and cars, surrounded by open green fields and scattered houses.</t>
  </si>
  <si>
    <t>[{"id": "obj_1", "class": "motorcycle", "description": "Single motorcycle with rider traveling away from the camera near the center of the lane on the right-hand carriageway", "position": "foreground center-right of roadway", "orientation": "moving away from camera along road"}, {"id": "obj_2", "class": "car", "description": "White car traveling toward the camera in the left-hand lane further down the road", "position": "mid-distance center of roadway", "orientation": "moving toward camera along road"}, {"id": "obj_3", "class": "motorcycle", "description": "Distant motorcycle or small vehicle in the right-hand lane further ahead on the road", "position": "mid-to-far distance center-right of roadway", "orientation": "moving away from camera"}, {"id": "obj_4", "class": "roadway", "description": "Two-lane rural highway with center dashed yellow lines and paved shoulders", "position": "extends from bottom foreground to horizon", "orientation": "aligned roughly vertically in image"}, {"id": "obj_5", "class": "utility_pole", "description": "Series of wooden utility poles with overhead power lines along both sides of the road", "position": "left and right sides of roadway", "orientation": "vertical poles with cables running parallel to road"}, {"id": "obj_6", "class": "building", "description": "Small houses and structures set back from the road in green fields", "position": "both sides of road in mid and far distance", "orientation": "various orientations relative to road"}, {"id": "obj_7", "class": "vegetation", "description": "Grass, scattered trees, and distant wooded areas", "position": "surrounding the roadway on both sides and in background", "orientation": "ground cover and vertical tree growth"}]</t>
  </si>
  <si>
    <t>Step 1 – Geolocation &amp; context: Likely a rural area in a right-hand-traffic country in the Americas, based on yellow dashed centerline, landscape, and utility infrastructure; confidence medium. Step 2 – Scene type: roadway / traffic environment with surrounding rural residential/green area. Step 3 – The road appears dry, markings visible, vehicles correctly oriented in lanes, and no evident hazards such as pedestrians on the carriageway, animals, debris, or severe weather. No anomaly or abnormal risk detected in this scene beyond ordinary rural highway driving conditions.</t>
  </si>
  <si>
    <t>Mixed/0093.png</t>
  </si>
  <si>
    <t>Paved urban sidewalk with tree pit opening and some uneven or missing paving near the curb; no people or vehicles present on the walkway.</t>
  </si>
  <si>
    <t>[{"id": "obj_1", "class": "sidewalk", "description": "Brick-paved sidewalk running from foreground to background along the right side of a street", "position": "occupies most of the frame from bottom center to upper center", "orientation": "aligned roughly parallel to the camera view, extending away from the viewer"}, {"id": "obj_2", "class": "tree_pit_opening", "description": "Rectangular opening in the sidewalk with exposed soil or gravel, likely for a tree base", "position": "left side of the sidewalk slightly above the vertical center of the image", "orientation": "rectangular, edges aligned with sidewalk paving"}, {"id": "obj_3", "class": "curb", "description": "Raised curb with red-and-white paint marking the edge of the sidewalk", "position": "along the far left edge of the image running top to bottom", "orientation": "parallel to sidewalk and street"}, {"id": "obj_4", "class": "parked_car", "description": "Partially visible parked car adjacent to the curb", "position": "far left margin of the frame, mid-height", "orientation": "likely parallel to curb"}, {"id": "obj_5", "class": "rough_ground", "description": "Unpaved or rough ground area bordering the sidewalk on the right side", "position": "right edge of the frame from mid to upper height", "orientation": "runs roughly parallel to sidewalk"}]</t>
  </si>
  <si>
    <t>[{"id": "anom_1", "related_objects": ["obj_2"], "type": "trip_hazard_opening", "description": "Open tree pit or utility opening in the sidewalk with no visible grate or protective barrier, creating a potential trip or step-in hazard for pedestrians.", "risk_score_1_to_10": 4, "risk_target": ["pedestrians"], "region": {"x_center_norm": 0.27, "y_center_norm": 0.38, "width_norm": 0.18, "height_norm": 0.12}, "reasoning": "The sidewalk has a rectangular cut-out exposing soil or a depression where pedestrians would normally walk. Without a cover or clear barrier, someone looking ahead rather than down could misstep or trip, especially at night or for those with mobility or visual impairments. The opening is modest in size, so the risk is mild to moderate rather than extreme."}, {"id": "anom_2", "related_objects": ["obj_1", "obj_5"], "type": "uneven_edge_surface", "description": "Edge of sidewalk adjacent to rough, eroded ground on the right appears uneven, which may cause minor trip risk or unstable footing when stepping off the walkway.", "risk_score_1_to_10": 3, "risk_target": ["pedestrians"], "region": {"x_center_norm": 0.9, "y_center_norm": 0.55, "width_norm": 0.2, "height_norm": 0.4}, "reasoning": "The transition between paved sidewalk and adjacent rough ground looks irregular with loose material. People stepping off the path could experience minor slips or ankle twists. The risk is localized and not severe because most of the walking surface remains flat and unobstructed."}]</t>
  </si>
  <si>
    <t>Geolocation and cultural context are low-confidence; the red-and-white curb pattern and brick sidewalk suggest a dense urban area, possibly Mediterranean or Middle Eastern, but this does not materially change sidewalk hazard assessment.</t>
  </si>
  <si>
    <t>Mixed/0060.png</t>
  </si>
  <si>
    <t>Sunny urban sidewalk beside a low stone wall with vegetation, adjacent parked cars, and pedestrians in the background.</t>
  </si>
  <si>
    <t>[{"id": "obj_1", "class": "sidewalk", "description": "Paved pedestrian sidewalk running from foreground bottom toward left side and background", "position": "foreground and left side of scene", "orientation": "aligned roughly bottom-to-top along image"}, {"id": "obj_2", "class": "plant", "description": "Short palm-like plant partially encroaching onto the sidewalk next to the wall", "position": "lower center-left near edge of sidewalk", "orientation": "leaves projecting outward toward sidewalk"}, {"id": "obj_3", "class": "wall", "description": "Low stone wall separating sidewalk from lower green area", "position": "mid-right extending horizontally", "orientation": "parallel to sidewalk"}, {"id": "obj_4", "class": "pedestrian", "description": "Person in black clothes walking on or near sidewalk in background", "position": "upper center-right background near cars", "orientation": "facing left"}, {"id": "obj_5", "class": "pedestrian", "description": "Person in red top and light shorts standing or walking near white car", "position": "upper left background", "orientation": "facing toward right/front"}, {"id": "obj_6", "class": "car", "description": "White car parked near curb with people nearby", "position": "upper left background", "orientation": "facing roughly toward camera right"}, {"id": "obj_7", "class": "car", "description": "Gray car parked behind low wall with visible yellow license plate", "position": "upper center-right background", "orientation": "facing toward camera"}, {"id": "obj_8", "class": "vegetation", "description": "Bushes and grass area behind the wall", "position": "mid-right background behind wall", "orientation": "horizontal strip"}, {"id": "obj_9", "class": "pole", "description": "Vertical pole at left edge casting long shadow across sidewalk", "position": "far left edge foreground", "orientation": "vertical with diagonal shadow"}]</t>
  </si>
  <si>
    <t>[{"id": "anom_1", "related_objects": ["obj_2", "obj_1"], "type": "sidewalk_obstruction", "description": "Palm-like plant encroaches into the walking path, partially obstructing the sidewalk and forcing pedestrians to divert around it.", "risk_score_1_to_10": 4, "risk_target": ["pedestrians"], "region": {"x_center_norm": 0.32, "y_center_norm": 0.58, "width_norm": 0.38, "height_norm": 0.35}, "reasoning": "The plant's leaves extend significantly over the paved walking area, narrowing the effective path. This presents a tripping or collision hazard, especially for distracted walkers, children, or individuals with visual impairments or mobility aids. However, the obstruction is localized and appears avoidable, so risk is mild to moderate rather than severe."}]</t>
  </si>
  <si>
    <t>Step 1 – Likely a Mediterranean or Middle Eastern urban area (e.g., Southern Europe or Israel) based on palm vegetation, building style, and yellow license plate; confidence medium. No evident vehicle movement or immediate traffic conflicts; primary concern is pedestrian comfort and safety due to vegetation blocking part of the sidewalk.</t>
  </si>
  <si>
    <t>Mixed/0080.jpg</t>
  </si>
  <si>
    <t>Wide urban roadway with multiple cars, including one car crossing the path of the dashcam vehicle at an intersection-like open area.</t>
  </si>
  <si>
    <t>[{"id": "obj_1", "class": "car", "description": "Silver car moving from right to left across the foreground, close to the dashcam vehicle", "position": "right-foreground, partially in front of dashcam vehicle", "orientation": "angled slightly toward the camera, crossing laterally"}, {"id": "obj_2", "class": "car", "description": "Light-colored sedan on the left side of the frame, moving toward the camera", "position": "left-foreground, adjacent lane", "orientation": "facing toward bottom-left/front of camera"}, {"id": "obj_3", "class": "car", "description": "Multiple distant cars further ahead on the wide road", "position": "center and right-background", "orientation": "aligned with roadway heading away from the camera"}, {"id": "obj_4", "class": "building", "description": "Multi-story unfinished or parking structure on the left side", "position": "left-background", "orientation": "parallel to road"}, {"id": "obj_5", "class": "building", "description": "Brick buildings lining the right side of the road", "position": "right-background", "orientation": "parallel to road"}]</t>
  </si>
  <si>
    <t>[{"id": "anom_1", "related_objects": ["obj_1"], "type": "cross-traffic vehicle conflict", "description": "A car is cutting across the dashcam vehicle’s trajectory in close proximity on a wide open roadway without visible lane markings or clear right-of-way control, indicating a likely failure to yield or risky crossing maneuver.", "risk_score_1_to_10": 7, "risk_target": ["drivers"], "region": {"x_center_norm": 0.82, "y_center_norm": 0.5, "width_norm": 0.25, "height_norm": 0.4}, "reasoning": "The silver car on the right is traversing laterally across the dashcam lane very near to the front of the camera, suggesting an immediate potential for side collision. The open intersection-like area and lack of markings increase uncertainty about paths and speed, heightening collision risk for the vehicles involved."}]</t>
  </si>
  <si>
    <t>Geolocation low-confidence; architecture, vehicles, and timestamp overlay suggest an Eastern European or post-Soviet urban environment. Wide, unmarked asphalt area behaves like an uncontrolled intersection, so crossing traffic maneuvers are particularly hazardous.</t>
  </si>
  <si>
    <t>Mixed/0059.png</t>
  </si>
  <si>
    <t>Urban sidewalk beside parked cars and a low wall, with a large bush protruding into the pedestrian path near street signage.</t>
  </si>
  <si>
    <t>[{"id": "obj_1", "class": "sidewalk", "description": "Paved brick sidewalk curving through the lower and central part of the image", "position": "foreground and center, extending from bottom to upper middle of frame", "orientation": "curving leftward along the street"}, {"id": "obj_2", "class": "bush", "description": "Dense green bush extending onto the sidewalk next to a stone wall", "position": "center of frame, encroaching from right edge onto the walkway", "orientation": "fixed landscaping bush protruding laterally into pedestrian path"}, {"id": "obj_3", "class": "wall", "description": "Low stone wall bordering the right edge of the sidewalk", "position": "right side of image, running from mid-right downward", "orientation": "parallel to sidewalk"}, {"id": "obj_4", "class": "car", "description": "White car parked along the street adjacent to the sidewalk", "position": "left side of frame, mid-height", "orientation": "aligned parallel to curb"}, {"id": "obj_5", "class": "traffic_sign", "description": "Blue directional and parking road signs on metal poles", "position": "upper central area near curb between sidewalk and street", "orientation": "facing approaching traffic/pedestrians"}, {"id": "obj_6", "class": "pedestrian", "description": "Person standing on the far side of the wall near the street", "position": "upper right quadrant, partly obscured by wall and bush", "orientation": "facing left toward street"}, {"id": "obj_7", "class": "building", "description": "Multi-story residential or mixed-use building with balconies and windows", "position": "background center and right", "orientation": "front facade facing the street"}]</t>
  </si>
  <si>
    <t>[{"id": "anom_1", "related_objects": ["obj_1", "obj_2", "obj_3"], "type": "sidewalk_obstruction_vegetation", "description": "Overgrown bush substantially blocks the effective width of the sidewalk, forcing pedestrians to divert close to the curb or wall and reducing visibility around the curve.", "risk_score_1_to_10": 5, "risk_target": ["pedestrians"], "region": {"x_center_norm": 0.57, "y_center_norm": 0.55, "width_norm": 0.45, "height_norm": 0.55}, "reasoning": "The bush protrudes far across the path, taking up a large share of the usable sidewalk and creating a blind corner. Pedestrians, including those with mobility impairments, strollers, or wheelchairs, may be forced closer to the street or may collide with the vegetation, particularly at night or in crowded conditions. The environment appears to be a typical urban sidewalk where a clear walking corridor is normally expected."}]</t>
  </si>
  <si>
    <t>Geolocation context: medium-confidence inference of a Mediterranean/Israeli urban area based on Hebrew/English signage, building style, and vegetation. Risk is moderate: mainly chronic obstruction rather than immediate life-threatening danger, but problematic for accessibility and situational awareness.</t>
  </si>
  <si>
    <t>Mixed/0010.png</t>
  </si>
  <si>
    <t>Nighttime urban sidewalk with a covered motorcycle parked in the middle of the pedestrian path near a road and small plaza.</t>
  </si>
  <si>
    <t>[{"id": "obj_1", "class": "motorcycle", "description": "Large motorcycle fully covered with a silver protective cover, rear wheel visible, standing in the middle of the sidewalk", "position": "center foreground on the main walking path of the sidewalk", "orientation": "motorcycle aligned roughly parallel to sidewalk, rear facing the camera"}, {"id": "obj_2", "class": "sidewalk", "description": "Paved pedestrian sidewalk running from foreground to background alongside the street", "position": "occupies most of the lower and middle part of the image", "orientation": "extends from bottom center toward upper right"}, {"id": "obj_3", "class": "road", "description": "Vehicular road adjacent to the sidewalk with street lighting", "position": "left middle background", "orientation": "runs roughly from lower left to upper left"}, {"id": "obj_4", "class": "tree", "description": "Leaning tree planted in the sidewalk near the edge by the road", "position": "left side foreground", "orientation": "leaning diagonally over the sidewalk"}, {"id": "obj_5", "class": "trash_bin", "description": "Large gray trash container on the curb", "position": "left middle of the image near the road", "orientation": "parallel to curb"}, {"id": "obj_6", "class": "car", "description": "Parked white car in plaza area", "position": "right background near edge of paved plaza", "orientation": "side facing camera"}, {"id": "obj_7", "class": "bench", "description": "Metal bench along side of plaza", "position": "right foreground edge", "orientation": "aligned roughly with sidewalk"}]</t>
  </si>
  <si>
    <t>[{"id": "anom_1", "related_objects": ["obj_1", "obj_2"], "type": "vehicle_obstructing_sidewalk", "description": "Covered motorcycle is parked squarely in the middle of the pedestrian sidewalk, significantly obstructing the walking path and reducing visibility because the cover increases its bulk.", "risk_score_1_to_10": 6, "risk_target": ["pedestrians"], "region": {"x_center_norm": 0.48, "y_center_norm": 0.48, "width_norm": 0.35, "height_norm": 0.55}, "reasoning": "The motorcycle occupies most of the width of the sidewalk, forcing pedestrians, including those with mobility aids or strollers, to detour toward the curb or squeeze past. The bulky cover may reduce its detectability for people with low vision, increasing trip or collision risk, especially at night. This is a moderate but not immediately life-threatening hazard."}]</t>
  </si>
  <si>
    <t>Geolocation confidence: low to medium. Nighttime urban area, likely Mediterranean/European based on paving style and street furniture, but not clearly identifiable. Main safety concern is pedestrian accessibility and collision/trip risk from a large, covered motorcycle blocking the sidewalk at night.</t>
  </si>
  <si>
    <t>Mixed/0003.png</t>
  </si>
  <si>
    <t>Evening urban sidewalk with cars parked along the curb and bulky debris and bedding obstructing the pedestrian path.</t>
  </si>
  <si>
    <t>[{"id": "obj_1", "class": "sidewalk", "description": "Paved pedestrian sidewalk running from foreground to background between hedge wall and parked cars", "position": "extends from bottom center of image toward the upper center", "orientation": "longitudinal along the image depth"}, {"id": "obj_2", "class": "car", "description": "White car parked on the right side adjacent to the sidewalk, occupying much of the right foreground", "position": "right foreground", "orientation": "parked parallel to sidewalk, facing away from camera"}, {"id": "obj_3", "class": "car", "description": "White car parked further ahead near the middle background", "position": "center-right background", "orientation": "parked along the roadway"}, {"id": "obj_4", "class": "debris", "description": "Large pieces of bulky waste including what appears to be a mattress or bedding and furniture-like items lying across the sidewalk", "position": "center of the sidewalk in mid-ground, between parked cars and hedge wall", "orientation": "spread laterally, blocking the walking path"}, {"id": "obj_5", "class": "hedge", "description": "Dense green hedge and stone retaining wall lining the left side of the sidewalk", "position": "left side from foreground to background", "orientation": "parallel to sidewalk"}, {"id": "obj_6", "class": "road", "description": "Vehicle roadway adjacent to the parked cars in the background", "position": "upper right and center background", "orientation": "parallel to sidewalk"}, {"id": "obj_7", "class": "street_lighting", "description": "Ambient street lighting illuminating the area during low-light conditions", "position": "off-frame above, casting light across the scene", "orientation": "overhead"}]</t>
  </si>
  <si>
    <t>[{"id": "anom_1", "related_objects": ["obj_1", "obj_4"], "type": "sidewalk_obstruction", "description": "Bulky waste and bedding completely obstruct the sidewalk, forcing pedestrians to detour, possibly into the roadway.", "risk_score_1_to_10": 6, "risk_target": ["pedestrians"], "region": {"x_center_norm": 0.5, "y_center_norm": 0.56, "width_norm": 0.7, "height_norm": 0.35}, "reasoning": "The debris occupies the full width of the sidewalk, leaving no clear passage between the hedge and the parked cars. Pedestrians, including those with reduced mobility or strollers, would likely have to step off the sidewalk into the adjacent road, especially in these low-light conditions, increasing collision and trip hazards."}, {"id": "anom_2", "related_objects": ["obj_1", "obj_2"], "type": "narrowed_pedestrian_space", "description": "Car parked very close to the sidewalk edge further narrows the already restricted pedestrian space near the obstruction.", "risk_score_1_to_10": 4, "risk_target": ["pedestrians"], "region": {"x_center_norm": 0.77, "y_center_norm": 0.55, "width_norm": 0.4, "height_norm": 0.5}, "reasoning": "Although parking along sidewalks can be normal, here the proximity of the parked car to the walkway combines with the bulky debris to leave almost no remaining safe path. This increases the likelihood that pedestrians must squeeze through a tight gap or step into the road, raising minor to moderate safety risk."}]</t>
  </si>
  <si>
    <t>Geolocation is uncertain but suggests a modern urban or suburban area, possibly Mediterranean/European, based on vehicles, paving, and vegetation. The main hazard is the blocked sidewalk in low-light conditions, posing a notable risk mainly to pedestrians.</t>
  </si>
  <si>
    <t>Mixed/0081.jpg</t>
  </si>
  <si>
    <t>Dashcam view following a white car on a narrow village road lined with houses and utility poles.</t>
  </si>
  <si>
    <t>[{"id": "obj_1", "class": "car", "description": "White hatchback directly ahead of the camera car, centered in the lane.", "position": "center foreground of roadway, moving away from camera", "orientation": "facing away from camera, aligned with road direction"}, {"id": "obj_2", "class": "car", "description": "Ego-vehicle from which the dashcam image is taken.", "position": "bottom edge of frame, occupying current lane", "orientation": "facing forward along the road"}, {"id": "obj_3", "class": "roadway", "description": "Narrow two-way village road with no clear lane markings.", "position": "extending from bottom center to mid-background", "orientation": "longitudinal, leading straight into the distance"}, {"id": "obj_4", "class": "building", "description": "Residential houses along both sides of the road.", "position": "left and right sides of midground", "orientation": "parallel to road"}, {"id": "obj_5", "class": "utility_pole", "description": "Series of wooden utility poles along the road with overhead lines.", "position": "left and right sides of roadway, midground and background", "orientation": "vertical"}]</t>
  </si>
  <si>
    <t>Step 1 – Likely a rural Eastern European or Russian village based on architecture, car style, and dashcam date format; confidence medium. Step 2 – Roadway/traffic and residential mixed urban. Step 3 – No clear unsafe behavior or environmental hazard visible in this single frame; following distance and speed cannot be reliably inferred from the still image.</t>
  </si>
  <si>
    <t>Mixed/0049.jpg</t>
  </si>
  <si>
    <t>Close-up of a wet roadside with a storm drain grate in the asphalt near the curb and a linear drainage channel along a grassy verge.</t>
  </si>
  <si>
    <t>[{"id": "obj_1", "class": "road_surface", "description": "Wet asphalt roadway occupying the lower and left portions of the image", "position": "foreground and left side of scene adjacent to curb", "orientation": "flat, horizontal"}, {"id": "obj_2", "class": "storm_drain_grate", "description": "Rectangular metal storm drain grate set into the asphalt near the curb", "position": "lower center of image next to curb", "orientation": "aligned parallel to curb"}, {"id": "obj_3", "class": "curb", "description": "Concrete curb separating road from drainage channel and grass", "position": "runs horizontally across the midline of the image", "orientation": "horizontal, slightly diagonal toward right"}, {"id": "obj_4", "class": "linear_drainage_grate", "description": "Long narrow metal grate for surface water drainage beside the curb", "position": "just above curb extending from left toward right side of image", "orientation": "horizontal"}, {"id": "obj_5", "class": "vegetation", "description": "Grass and small plants with some fallen leaves beyond the drainage grate", "position": "upper right area beyond curb and drainage channel", "orientation": "ground cover"}]</t>
  </si>
  <si>
    <t>Wet pavement and open but properly covered drains appear normal for this roadside setting; no visible structural damage, blockage, or unusual hazards.</t>
  </si>
  <si>
    <t>Mixed/0041.jpg</t>
  </si>
  <si>
    <t>Two-lane paved road with a large pothole and extensive cracking near the centerline.</t>
  </si>
  <si>
    <t>[{"id": "obj_1", "class": "roadway", "description": "Paved two-lane road surface with double yellow centerlines", "position": "occupies entire frame, perspective looking along lane direction", "orientation": "camera aligned roughly along road axis"}, {"id": "obj_2", "class": "lane_marking", "description": "Double yellow centerline with some wear and cracking", "position": "vertical band slightly left of image center", "orientation": "aligned with road direction from bottom to top of image"}, {"id": "obj_3", "class": "pothole", "description": "Large, deep pothole with broken asphalt and exposed subgrade", "position": "lower center of the image, spanning across the lane around the centerline", "orientation": "transverse across direction of travel"}, {"id": "obj_4", "class": "road_cracks", "description": "Network of longitudinal and transverse cracks surrounding the pothole", "position": "lower half of the frame, concentrated near center around the pothole", "orientation": "irregular patterns across lane"}]</t>
  </si>
  <si>
    <t>[{"id": "anom_1", "related_objects": ["obj_3", "obj_4", "obj_2"], "type": "severe_road_surface_damage", "description": "Large pothole and extensive cracking in the active traffic lane near the centerline, creating a significant hazard for vehicles and two-wheelers.", "risk_score_1_to_10": 7, "risk_target": ["drivers", "cyclists", "motorcyclists"], "region": {"x_center_norm": 0.48, "y_center_norm": 0.72, "width_norm": 0.45, "height_norm": 0.25}, "reasoning": "The pothole appears deep with broken asphalt and exposed base, located where vehicle tires are likely to pass near the centerline. At normal road speeds this can cause loss of control, wheel or suspension damage, and is especially dangerous to motorcycles and bicycles. Surrounding cracks suggest further instability of the surface, increasing likelihood of sudden failure."}]</t>
  </si>
  <si>
    <t>Geolocation low-confidence; typical of a rural or interurban paved road in a country using yellow centerlines. Risk escalates at night or in poor visibility due to limited conspicuity of the defect.</t>
  </si>
  <si>
    <t>Mixed/0109.jpg</t>
  </si>
  <si>
    <t>Urban street with mixed vehicle traffic including cars, minibuses, motorcycles and bicycles near an intersection.</t>
  </si>
  <si>
    <t>[{"id": "obj_1", "class": "car", "description": "Yellow sedan in the center foreground, moving away from the camera in the right lane area.", "position": "center foreground of roadway", "orientation": "facing away from camera"}, {"id": "obj_2", "class": "minibus_van", "description": "Green minibus on the left side of the road, slightly ahead of the yellow car, angled slightly left.", "position": "left foreground of roadway", "orientation": "facing away from camera, slightly toward left side"}, {"id": "obj_3", "class": "car", "description": "White vehicle further ahead in the middle distance, partially obscured by the yellow car and minibus.", "position": "center mid-distance of roadway", "orientation": "facing away from camera"}, {"id": "obj_4", "class": "motorcycle", "description": "Motorcycle with rider near the right side of the intersection area, traveling along the roadway.", "position": "right mid-distance of roadway", "orientation": "facing away from camera"}, {"id": "obj_5", "class": "bicycle", "description": "Person riding a bicycle near the motorcycle on the right side of the intersection.", "position": "right mid-distance near curb", "orientation": "facing away from camera"}, {"id": "obj_6", "class": "building", "description": "Multi-story light-colored building on the right side with balconies and ground-floor shops.", "position": "right side background", "orientation": "facing intersection"}, {"id": "obj_7", "class": "road_sign", "description": "Yield sign on a pole at the intersection to the right.", "position": "right middle of scene near intersection", "orientation": "facing approaching traffic from camera direction"}, {"id": "obj_8", "class": "traffic_light", "description": "Traffic signal above and slightly behind the yield sign at the intersection.", "position": "right middle of scene above intersection", "orientation": "facing approaching vehicles"}, {"id": "obj_9", "class": "tree", "description": "Large leafy tree on the left side of the road.", "position": "left upper portion of scene", "orientation": "upright"}, {"id": "obj_10", "class": "power_lines", "description": "Overhead electrical and communication cables crossing the street.", "position": "upper central area, spanning left to right", "orientation": "horizontal across scene"}, {"id": "obj_11", "class": "pedestrian", "description": "Person standing in or near the open side door of the green minibus.", "position": "left side adjacent to minibus", "orientation": "side-on, facing toward vehicle"}]</t>
  </si>
  <si>
    <t>Step 1 – Geolocation &amp; Context: The scene appears to be in a West or Central African urban environment (low to medium confidence), inferred from the yellow taxi style, green minibus, street conditions, and architecture. Road traffic keeps to the right and signage includes a European-style yield sign, indicating right-hand traffic norms. Step 2: Scene type is a roadway/traffic environment within a mixed urban area. Step 3–4: Multiple vehicles and vulnerable road users (motorcycle, bicycle, pedestrian by the minibus) share the road near an intersection, but no clearly abnormal behaviors or hazardous conditions are visible in this single frame. No evident wrong-way driving, collisions, or infrastructure failures are seen. Thus no specific anomaly is identified; general urban traffic risk exists but is not beyond normal expectations for this context.</t>
  </si>
  <si>
    <t>blurred_downsampled/Rv99JvtscGUE43Sx59C4DQ.jpg</t>
  </si>
  <si>
    <t>Urban street with a yellow car ahead and a green van to the left, in a low-visibility, heavily blurred image.</t>
  </si>
  <si>
    <t>[{"id": "obj_1", "class": "car", "description": "Yellow passenger car in the center of the lane ahead of the camera", "position": "center foreground of the road", "orientation": "facing away from the camera, aligned with road direction"}, {"id": "obj_2", "class": "van", "description": "Green van positioned to the left side of the yellow car, possibly in adjacent lane or partly stopped", "position": "left foreground of the road", "orientation": "facing away from the camera, roughly parallel to road"}, {"id": "obj_3", "class": "building", "description": "Multi-story building on the right side of the street", "position": "right background", "orientation": "façade facing the street"}, {"id": "obj_4", "class": "tree", "description": "Large tree overhanging the street", "position": "upper left background", "orientation": "vertical trunk with canopy over road"}, {"id": "obj_5", "class": "roadway", "description": "Paved urban street with mixed traffic", "position": "extends from foreground to background", "orientation": "runs from bottom center toward top center"}]</t>
  </si>
  <si>
    <t>[{"id": "anom_1", "related_objects": ["obj_1", "obj_2"], "type": "severely_obstructed_driver_visibility_in_image", "description": "The scene is extremely blurred, implying very low visual clarity; if this reflects the driver’s view (e.g., fogged windshield, poor focus, or visual impairment), it would dangerously reduce the ability to perceive other road users and hazards.", "risk_score_1_to_10": 7, "risk_target": ["drivers", "pedestrians", "cyclists"], "region": {"x_center_norm": 0.5, "y_center_norm": 0.5, "width_norm": 1.0, "height_norm": 1.0}, "reasoning": "All elements in the frame lack sharp edges and fine detail, indicating globally degraded visibility rather than a localized blur. In a real driving context this would prevent accurate distance and motion judgment for vehicles or pedestrians, constituting a high safety risk."}]</t>
  </si>
  <si>
    <t>Geolocation is low-confidence; architecture and vehicle types suggest a mixed-use urban area, possibly in a warm-climate region, but this does not materially change the core risk assessment, which is dominated by the severe visual blur.</t>
  </si>
  <si>
    <t>blurred_downsampled/0051.jpg</t>
  </si>
  <si>
    <t>Heavily blurred image that appears to show a straight paved road with a center line under a mostly blue sky; no distinct objects are discernible.</t>
  </si>
  <si>
    <t>[{"id": "obj_1", "class": "roadway", "description": "Straight paved road extending from bottom center toward horizon", "position": "central foreground to center distance", "orientation": "aligned roughly vertically in the image, receding away from viewer"}, {"id": "obj_2", "class": "sky", "description": "Bright sky area occupying upper portion of frame", "position": "top half of image", "orientation": "horizontal expanse above horizon"}]</t>
  </si>
  <si>
    <t>Step 1 – Geolocation &amp; Context: The scene looks like an open roadway with a center marking under clear sky; all details (vehicles, signs, pedestrians, surroundings) are too blurred to identify reliably. Geographic/cultural context cannot be determined (low confidence). Step 2 – Scene Type: Roadway / traffic environment, potentially in a non-urban or peri-urban area, but this is uncertain. Step 3 – Description: Only the general form of a road and sky can be inferred; no specific hazards, vehicles, or people are visible. Steps 4–8 – Because of the extreme blur, no concrete safety-relevant entities (vehicles, pedestrians, obstacles, infrastructure details) can be identified, so no anomalies can be assessed. Overall the image does not provide enough information to infer specific risks beyond generic roadway risks; therefore the anomaly list is empty and overall risk score is set to 0 by specification, reflecting lack of observable abnormal conditions rather than confirmed safety.</t>
  </si>
  <si>
    <t>blurred_downsampled/0036.jpg</t>
  </si>
  <si>
    <t>Highly blurred view of a paved lane with a painted bicycle symbol, likely indicating a bike lane or shared path; no other distinct objects visible.</t>
  </si>
  <si>
    <t>[{"id": "obj_1", "class": "bicycle_lane_marking", "description": "White painted bicycle symbol on the pavement near the center of the image, indicating a designated bicycle lane or path.", "position": "center foreground on paved surface", "orientation": "aligned with the apparent direction of the lane, extending away from the viewer"}, {"id": "obj_2", "class": "paved_path_or_road", "description": "Long paved surface extending from bottom center toward the top of the image, possibly a road or cycle path.", "position": "occupies most of the frame from bottom to top", "orientation": "extending longitudinally away from the viewer"}]</t>
  </si>
  <si>
    <t>Step 1 – Geolocation &amp; Context: Due to extreme blur, there are no reliable geographic clues beyond a generic paved lane with a bicycle symbol; likely an urban or suburban transport environment in an area that uses standard white bicycle markings—confidence: low. Assumption: this is a standard bike lane or shared-use path. Step 2 – Scene Type: This appears to be a roadway/traffic or cycling environment, possibly alongside a sidewalk or within a park, but details are not discernible. Step 3 – Scene Description: Only the pavement and a stylized bike symbol are reliably visible; edges of the path and surroundings are indistinct. Step 4 – Object Identification: No people, vehicles, animals, or distinct infrastructure elements can be confirmed beyond the paved surface and lane marking. Step 5 – Anomaly Detection: Because the image is heavily blurred, no specific unsafe behavior, obstacles, or infrastructure damage can be identified; therefore no explicit anomaly is reported. Step 6 – Risk Assessment: With no observable anomalies and no visible road users, the assessed risk is 0, recognizing that unobservable hazards may exist but cannot be inferred from the frame. Step 7 – Spatial Localization: The main feature (bicycle marking) is near the image center; no anomalous regions to localize. Step 8 – Reasoning: The assessment is constrained by image quality; all conclusions are conservative and based only on what can be clearly inferred. Step 9 – Overall Summary: Scene appears nominal and oriented toward bicycle traffic; no visible hazards or abnormal conditions can be confirmed, so the situation is treated as safe within the limits of the visual information.</t>
  </si>
  <si>
    <t>blurred_downsampled/0108.jpg</t>
  </si>
  <si>
    <t>Blurred daytime view from inside a vehicle along a small residential road with houses on the left and dense vegetation on the right.</t>
  </si>
  <si>
    <t>[{"id": "obj_1", "class": "roadway", "description": "Two-lane paved road extending straight ahead through a small residential area", "position": "center of scene, stretching from bottom foreground to upper center background", "orientation": "aligned approximately vertically away from the camera"}, {"id": "obj_2", "class": "vehicle_interior", "description": "Dashboard or hood edge of the vehicle from which the photo is taken", "position": "bottom edge of frame", "orientation": "facing forward along the road"}, {"id": "obj_3", "class": "buildings", "description": "Low-rise residential-style buildings along the street", "position": "left side and distant center of scene", "orientation": "fronts facing the roadway"}, {"id": "obj_4", "class": "vegetation", "description": "Dense green trees and bushes lining right side of roadway", "position": "right side of scene from mid to upper area", "orientation": "bordering the roadside"}, {"id": "obj_5", "class": "utility_poles_and_lines", "description": "Series of utility poles and overhead cables running along both sides of the street", "position": "upper left and upper right of scene", "orientation": "roughly parallel to the road"}, {"id": "obj_6", "class": "distant_vehicle", "description": "Small vehicle visible far ahead on the road", "position": "center background of the roadway", "orientation": "appears stationary or moving away along the road"}]</t>
  </si>
  <si>
    <t>Step 1 – Geolocation &amp; context: Likely a quiet residential or semi-rural street in a temperate region, possibly East Asia or Europe, inferred from architecture, vegetation, and overhead wiring; confidence low because the image is heavily blurred and fine details like signage or markings are unreadable. Step 2 – Scene type: roadway/traffic environment in a residential/mixed urban edge area. Step 3 – No specific anomalies or abnormal risks can be identified due to the strong blur; no visible pedestrians, animals, or obvious infrastructure damage, and traffic appears minimal and orderly. As a still frame, no immediate hazards beyond normal driving conditions are evident.</t>
  </si>
  <si>
    <t>blurred_downsampled/bullsnake1_jpg.rf.15059df4aee7da68808993c869505cd4.jpg</t>
  </si>
  <si>
    <t>Very blurred view of a light-colored ground surface with a long, thin, snake-like shape lying across it near a vegetated edge.</t>
  </si>
  <si>
    <t>[{"id": "obj_1", "class": "snake_like_animal", "description": "Long, thin, curved shape on the ground resembling a snake, roughly across the open surface near the center-right of the image", "position": "center-right of the open ground area, away from the vegetated edge", "orientation": "curved, generally oriented diagonally across the ground"}, {"id": "obj_2", "class": "vegetation", "description": "Green, bushy or tree-like vegetation forming a boundary along one side of the scene", "position": "left side of image along the edge of the open ground", "orientation": "upright relative to the ground"}, {"id": "obj_3", "class": "ground_surface", "description": "Uniform, light-colored open surface that could be a dirt or gravel road/path", "position": "occupies most of the central and right portions of the scene", "orientation": "horizontal plane"}]</t>
  </si>
  <si>
    <t>[{"id": "anom_1", "related_objects": ["obj_1", "obj_3"], "type": "animal_on_path_or_road", "description": "A snake-like animal is lying on what appears to be a path or road surface, creating a potential conflict with people or vehicles using the route.", "risk_score_1_to_10": 5, "risk_target": ["pedestrians", "drivers", "cyclists"], "region": {"x_center_norm": 0.65, "y_center_norm": 0.55, "width_norm": 0.25, "height_norm": 0.25}, "reasoning": "The long, thin object on the open surface resembles a snake positioned where people, bicycles, or vehicles might travel. Even if non-venomous, its presence could startle pedestrians or cause avoidance maneuvers by cyclists or drivers, leading to falls or swerves. The image is very blurred, so classification of the surface and species is uncertain, but an animal lying across a potential roadway or path is contextually abnormal and presents moderate risk."}]</t>
  </si>
  <si>
    <t>Geolocation and exact environment type are low-confidence due to strong blur; risk is assessed conservatively assuming this is a path or low-traffic road in a natural-urban interface.</t>
  </si>
  <si>
    <t>blurred_downsampled/21FIXES1-web-videoSixteenByNineJumbo1600.jpg</t>
  </si>
  <si>
    <t>Heavily congested multilane urban roadway with dense traffic and likely standstill conditions.</t>
  </si>
  <si>
    <t>[{"id": "obj_1", "class": "roadway", "description": "Multilane paved road running from foreground bottom center toward background center with traffic in both directions", "position": "center of scene, extending from bottom center to top center", "orientation": "aligned roughly vertically in the image"}, {"id": "obj_2", "class": "vehicles", "description": "Numerous mixed vehicles (cars, buses, trucks, smaller vehicles) packed closely in both directions", "position": "covering most of the roadway area from bottom to top, left to right", "orientation": "generally aligned with road direction, many appearing stopped or slow-moving"}, {"id": "obj_3", "class": "green_space", "description": "Vegetated areas/trees bordering the roadway, particularly on the left and right sides", "position": "left and right edges of the image alongside the road", "orientation": "static background"}, {"id": "obj_4", "class": "urban_background", "description": "Distant built-up/urban structures and possibly construction cranes", "position": "upper half of the image, mostly center and left background", "orientation": "background skyline"}]</t>
  </si>
  <si>
    <t>[{"id": "anom_1", "related_objects": ["obj_1", "obj_2"], "type": "severe_traffic_congestion", "description": "Extremely dense, likely gridlocked traffic with vehicles packed close together across all visible lanes.", "risk_score_1_to_10": 5, "risk_target": ["drivers", "pedestrians", "general_civilians"], "region": {"x_center_norm": 0.5, "y_center_norm": 0.6, "width_norm": 0.9, "height_norm": 0.7}, "reasoning": "The entire roadway is filled with tightly packed vehicles, suggesting stop-and-go or standstill traffic. While this is common in some large cities, it elevates risk of rear-end collisions, side swipes during lane changes, road rage incidents, and delays that may impact emergency response. No clear collisions are visible, so the risk is moderate rather than acute."}]</t>
  </si>
  <si>
    <t>Step 1 – Geolocation &amp; context: The image is heavily blurred, but the scene resembles a large urban corridor in a densely populated region, possibly South or East Asia, inferred from traffic density, vehicle mix, and roadside vegetation; confidence is low due to blur. Step 2 – Scene type: urban roadway/traffic environment with adjacent vegetated areas. No specific vulnerable users or crashes can be discerned because of the blur, so assessment focuses on systemic congestion-related risks rather than immediate visible accidents.</t>
  </si>
  <si>
    <t>blurred_downsampled/anomaly_102.png</t>
  </si>
  <si>
    <t>Highly blurred view of an urban sidewalk area next to a street with some vegetation and a parked or passing vehicle.</t>
  </si>
  <si>
    <t>[{"id": "obj_1", "class": "sidewalk", "description": "Paved pedestrian walkway running from lower left towards upper center of the image", "position": "foreground and midground, left side of image", "orientation": "aligned roughly from bottom-left to top-center"}, {"id": "obj_2", "class": "road", "description": "Vehicle lane adjacent to the sidewalk with a light-colored vehicle visible", "position": "upper left portion of image beside the sidewalk", "orientation": "parallel to the sidewalk"}, {"id": "obj_3", "class": "vehicle", "description": "Light-colored car on or next to the roadway", "position": "upper left corner", "orientation": "appears aligned with road direction"}, {"id": "obj_4", "class": "vegetation", "description": "Bushes or tall grass along the edge of the sidewalk", "position": "right side of image, from mid to lower part", "orientation": "vertical growth along sidewalk edge"}, {"id": "obj_5", "class": "pole_or_sign", "description": "Vertical post or sign structure near sidewalk", "position": "center of image slightly towards top", "orientation": "vertical"}]</t>
  </si>
  <si>
    <t>Location/context inference: low confidence due to extreme blur; appears to be a typical urban or suburban street with sidewalk, car, and greenery. The blur prevents detection of specific hazards such as damaged pavement, obstructions, or signage. No clear anomaly or abnormal risk can be reliably identified from this frame.</t>
  </si>
  <si>
    <t>blurred_downsampled/0062.png</t>
  </si>
  <si>
    <t>Urban sidewalk with a vertical metal structure mounted on a low stone base, some debris on the pavement and vegetation overhead alongside a street.</t>
  </si>
  <si>
    <t>[{"id": "obj_1", "class": "sidewalk", "description": "Paved pedestrian sidewalk running from foreground to background along the left side of the image", "position": "covers most of the lower and left portions of the scene", "orientation": "aligned roughly front-to-back in the image"}, {"id": "obj_2", "class": "metal_structure", "description": "Tall vertical metal pole or frame fixed on a rectangular low stone or brick base on the sidewalk", "position": "near the center of the image, slightly left of center on the sidewalk edge next to a stone wall", "orientation": "upright vertical"}, {"id": "obj_3", "class": "debris", "description": "Light-colored fragments or litter scattered on the pavement around the base of the metal structure", "position": "bottom-center of the image on the sidewalk in front of the stone base", "orientation": "lying flat on pavement"}, {"id": "obj_4", "class": "stone_wall_planter", "description": "Low stone or brick wall or planter running along the right side of the sidewalk with vegetation above it", "position": "right side of the image, parallel to sidewalk", "orientation": "horizontal, aligned with sidewalk"}, {"id": "obj_5", "class": "street", "description": "Vehicle roadway running parallel to the sidewalk", "position": "left side and background of the image", "orientation": "parallel to sidewalk"}, {"id": "obj_6", "class": "vegetation", "description": "Overhanging greenery or tree canopy above the metal structure and wall", "position": "upper part of the image, mainly right and center", "orientation": "branches extending over the sidewalk"}]</t>
  </si>
  <si>
    <t>[{"id": "anom_1", "related_objects": ["obj_2", "obj_3", "obj_1"], "type": "pedestrian_trip_obstruction", "description": "Low stone base of the metal structure combined with scattered debris partially obstructs the walking path on the sidewalk and creates a trip hazard.", "risk_score_1_to_10": 4, "risk_target": ["pedestrians"], "region": {"x_center_norm": 0.5, "y_center_norm": 0.78, "width_norm": 0.45, "height_norm": 0.35}, "reasoning": "The base of the structure intrudes into the sidewalk space where pedestrians would walk, and small fragments on the pavement around it can be hard to see, especially in low light or for distracted or mobility-impaired pedestrians. This presents a mild to moderate risk of tripping but not an imminent life-threatening danger."}]</t>
  </si>
  <si>
    <t>Geolocation is low-confidence; scene appears to be a typical urban or suburban sidewalk in a temperate or warm climate, with no obvious high-speed traffic immediately adjacent. Risk assessment is conservative due to image blur, but the obstruction on the walkway is clearly visible.</t>
  </si>
  <si>
    <t>blurred_downsampled/0055.png</t>
  </si>
  <si>
    <t>Urban sidewalk beside a street with a parked white vehicle and a pole obstructing part of the walking path; image is heavily blurred.</t>
  </si>
  <si>
    <t>[{"id": "obj_1", "class": "car", "description": "White car parked along the left side of the scene adjacent to the sidewalk", "position": "left foreground, partly on or immediately beside the sidewalk edge", "orientation": "aligned roughly parallel to the street"}, {"id": "obj_2", "class": "sidewalk", "description": "Paved pedestrian walkway running from foreground to background", "position": "center and right side of the frame", "orientation": "extends longitudinally away from the camera"}, {"id": "obj_3", "class": "utility_pole", "description": "Tall vertical pole located in the middle of the sidewalk", "position": "near center of the frame, on the sidewalk", "orientation": "vertical"}, {"id": "obj_4", "class": "street", "description": "Vehicle roadway running parallel to the sidewalk", "position": "right edge of the scene beside the sidewalk", "orientation": "extends from foreground to background"}]</t>
  </si>
  <si>
    <t>[{"id": "anom_1", "related_objects": ["obj_2", "obj_3"], "type": "obstructed_sidewalk", "description": "Utility pole placed in the middle of the sidewalk, narrowing the passage for pedestrians and potentially blocking wheelchair or stroller access.", "risk_score_1_to_10": 4, "risk_target": ["pedestrians"], "region": {"x_center_norm": 0.5, "y_center_norm": 0.55, "width_norm": 0.18, "height_norm": 0.85}, "reasoning": "The pole is clearly within the walking path rather than at the outer edge, which reduces clear sidewalk width and could force people to maneuver around it, increasing collision or trip risk, particularly for those with limited mobility or low vision."}]</t>
  </si>
  <si>
    <t>Step 1 – Geolocation &amp; Context: The scene appears to be an urban area in a temperate or warm climate with standard passenger vehicles and paved sidewalk; specific country or city cannot be reliably identified due to heavy blur, so location confidence is low. Risk assessment is therefore based on general urban sidewalk norms rather than region-specific standards.</t>
  </si>
  <si>
    <t>blurred_downsampled/0063.png</t>
  </si>
  <si>
    <t>Urban sidewalk cluttered with a large pile of cardboard boxes and debris beside a parked car, obstructing pedestrian passage.</t>
  </si>
  <si>
    <t>[{"id": "obj_1", "class": "sidewalk", "description": "Paved pedestrian walkway in the foreground and midground", "position": "extends from bottom center to mid-frame, along the right side of the image", "orientation": "aligned parallel to the building wall"}, {"id": "obj_2", "class": "car", "description": "White SUV or crossover parked along the curb next to the pile of boxes", "position": "right-center of the image, adjacent to sidewalk", "orientation": "oriented roughly left-right across the frame"}, {"id": "obj_3", "class": "cardboard_boxes_debris", "description": "Large pile of cardboard boxes and loose packaging material scattered across the sidewalk", "position": "center of the image, covering most of the sidewalk area in front of the parked car", "orientation": "irregular pile spread from lower center toward mid-frame"}, {"id": "obj_4", "class": "building", "description": "Wall of a low-rise building along the left side of the sidewalk", "position": "left side of image, parallel to sidewalk", "orientation": "vertical wall receding into depth"}, {"id": "obj_5", "class": "tree", "description": "Tree trunk adjacent to sidewalk", "position": "left-bottom quadrant near the edge of sidewalk", "orientation": "vertical"}]</t>
  </si>
  <si>
    <t>[{"id": "anom_1", "related_objects": ["obj_1", "obj_2", "obj_3"], "type": "sidewalk_obstruction_litter", "description": "Large accumulation of cardboard boxes and debris obstructing the sidewalk and partially encroaching on the area next to a parked car.", "risk_score_1_to_10": 6, "risk_target": ["pedestrians", "general_civilians"], "region": {"x_center_norm": 0.52, "y_center_norm": 0.63, "width_norm": 0.88, "height_norm": 0.55}, "reasoning": "The pile of boxes covers most of the walking path, forcing pedestrians, including those with strollers or mobility impairments, to detour potentially into the street or squeeze through narrow gaps. The debris also introduces tripping hazards and could conceal uneven surfaces. In a typical urban setting, this level of obstruction is abnormal and poses a moderate safety risk."}]</t>
  </si>
  <si>
    <t>Location context is low-confidence; appears to be a generic urban area with mild climate. Assessment is based solely on visible obstruction and typical urban pedestrian norms.</t>
  </si>
  <si>
    <t>blurred_downsampled/C_000004_14.jpg</t>
  </si>
  <si>
    <t>Very blurred dashcam view of a narrow two-lane road in a semi-rural/residential area with one car ahead.</t>
  </si>
  <si>
    <t>[{"id": "obj_1", "class": "car", "description": "Single vehicle directly ahead of the camera on the roadway, seen from behind", "position": "center of lane in the middle of the image", "orientation": "facing away from the camera, aligned with road direction"}, {"id": "obj_2", "class": "roadway", "description": "Paved two-way road extending forward from bottom center toward horizon", "position": "occupies lower half of image", "orientation": "extends from bottom center to upper center of frame"}, {"id": "obj_3", "class": "utility_poles", "description": "Series of vertical poles with overhead lines along the sides of the road", "position": "left and right sides of roadway", "orientation": "vertical, parallel to road edges"}, {"id": "obj_4", "class": "buildings_trees_background", "description": "Indistinct mix of low buildings and trees along road edges in semi-rural setting", "position": "left and right background of image", "orientation": "static roadside environment"}]</t>
  </si>
  <si>
    <t>Image is heavily blurred, limiting detailed analysis of signage, pedestrians, or subtle hazards. Within what can be seen, traffic appears normal with a single car ahead on a standard road and no clear anomalies or abnormal risks detectable.</t>
  </si>
  <si>
    <t>blurred_downsampled/7608.jpg</t>
  </si>
  <si>
    <t>Heavily blurred view of a paved roadway with yellow lane markings and a circular manhole cover.</t>
  </si>
  <si>
    <t>[{"id": "obj_1", "class": "roadway", "description": "Paved road surface occupying most of the frame", "position": "entire scene background", "orientation": "flat horizontal surface"}, {"id": "obj_2", "class": "lane_marking", "description": "Yellow painted line running roughly vertically along left side of image", "position": "left side of roadway", "orientation": "parallel to road direction"}, {"id": "obj_3", "class": "manhole_cover", "description": "Circular grate within a square frame on the roadway", "position": "lower-left quadrant of the image", "orientation": "flush with road surface"}, {"id": "obj_4", "class": "road_marking", "description": "White painted marking, possibly text or symbol, on the pavement", "position": "upper-central part of the road", "orientation": "aligned with road direction"}]</t>
  </si>
  <si>
    <t>Geolocation &amp; context assessment: Low-confidence inference due to extreme blur; appears to be an urban roadway in a developed area with standard lane markings and drainage infrastructure. No discernible vehicles, pedestrians, or active hazards are visible, and the manhole cover appears flush and normal. The blur is an image quality issue, not a real-world safety factor in the scene.</t>
  </si>
  <si>
    <t>blurred_downsampled/anomaly_168.png</t>
  </si>
  <si>
    <t>Heavily blurred view of an outdoor sidewalk area with plants and a low wall; no clearly identifiable people or vehicles.</t>
  </si>
  <si>
    <t>[{"id": "obj_1", "class": "sidewalk", "description": "Paved pedestrian walkway occupying the lower half of the image", "position": "foreground and lower part of scene", "orientation": "extends diagonally from bottom center toward upper left"}, {"id": "obj_2", "class": "planter_or_shrub", "description": "Green vegetation or shrub in a pot or planting area adjacent to the walkway", "position": "left-center of scene beside the sidewalk", "orientation": "upright foliage extending upward"}, {"id": "obj_3", "class": "low_wall", "description": "Light-colored stone or concrete low wall bordering a raised green area", "position": "middle-right of scene, separating sidewalk from grassy or planted area", "orientation": "horizontal barrier running across the image"}, {"id": "obj_4", "class": "vegetation", "description": "Additional greenery or lawn area above the low wall", "position": "upper-right portion of the scene", "orientation": "flat planted area"}]</t>
  </si>
  <si>
    <t>Step 1 – Geolocation &amp; Context: Due to the strong blur, geographic inference is highly uncertain (low-confidence). The presence of a paved sidewalk, low wall, and ornamental plants suggests a generic urban or suburban pedestrian area, possibly in a temperate or warm climate. No clear signage, vehicles, or people are discernible.
Step 2 – Scene Type: Sidewalk / pedestrian zone within a mixed urban or residential environment.
Step 5 – Anomaly Detection: The blur prevents detailed assessment of smaller hazards (e.g., cracks, small obstacles). At the visible scale, there is no clearly abnormal object or behavior—no people, vehicles intruding onto the sidewalk, or obvious structural damage. Therefore, no specific anomaly or elevated risk can be reliably identified from this frame alone.</t>
  </si>
  <si>
    <t>blurred_downsampled/039.png</t>
  </si>
  <si>
    <t>Single pedestrian walking along an urban sidewalk beside a building and parked vehicles.</t>
  </si>
  <si>
    <t>[{"id": "obj_1", "class": "pedestrian", "description": "Person in light top and dark pants walking away along the sidewalk, carrying a turquoise bag", "position": "center of sidewalk in the middle of the frame", "orientation": "back facing the camera, moving away along the path"}, {"id": "obj_2", "class": "sidewalk", "description": "Paved walkway running forward into the distance along building frontage", "position": "occupies most of the lower and central portion of the frame", "orientation": "aligned roughly from bottom toward top of the image"}, {"id": "obj_3", "class": "building", "description": "Urban building facade bordering one side of the sidewalk", "position": "right side of the frame", "orientation": "parallel to sidewalk"}, {"id": "obj_4", "class": "parked_vehicle", "description": "Indistinct vehicle shape likely parked along curbside", "position": "left edge of the frame", "orientation": "parallel to sidewalk"}]</t>
  </si>
  <si>
    <t>Location and cultural context are low-confidence due to heavy blur; appears to be a standard urban sidewalk environment with no visible hazards or abnormal behaviors.</t>
  </si>
  <si>
    <t>blurred_downsampled/0095.png</t>
  </si>
  <si>
    <t>Blurred image of a sidewalk next to parked cars, with a rectangular utility cover and a person’s shadow on the pavement.</t>
  </si>
  <si>
    <t>[{"id": "obj_1", "class": "sidewalk", "description": "Narrow paved pedestrian walkway running from foreground to background along the left side of parked cars", "position": "center of image, extending from bottom to top", "orientation": "aligned roughly along the image vertical axis"}, {"id": "obj_2", "class": "parked_cars", "description": "Row of cars parked parallel along the right side of the sidewalk", "position": "right side of image, extending from mid to top", "orientation": "oriented lengthwise along the road"}, {"id": "obj_3", "class": "utility_cover", "description": "Rectangular cover or hatch inset into the sidewalk surface", "position": "lower central area of the sidewalk, near the bottom of the image", "orientation": "flat, aligned with sidewalk edges"}, {"id": "obj_4", "class": "vegetation", "description": "Dense hedge or bushes forming a green wall alongside the sidewalk", "position": "left side of image, running from bottom to top", "orientation": "vertical boundary along sidewalk edge"}, {"id": "obj_5", "class": "person_shadow", "description": "Shadow of a person cast on the sidewalk near the bottom of the frame", "position": "bottom center of image on the sidewalk", "orientation": "shadow extending upward on pavement"}, {"id": "obj_6", "class": "curb", "description": "Raised curb with painted markings separating sidewalk from parked cars/roadway", "position": "right edge of sidewalk, running vertically through image", "orientation": "parallel to sidewalk"}]</t>
  </si>
  <si>
    <t>Step 1 – Geolocation &amp; Context: The hedge, cars, and painted curb (appearing blue/white) suggest an urban or suburban environment, possibly Mediterranean or Middle Eastern, but due to heavy blur this is low-confidence. No clear signage or language is legible. Step 2 – Scene Type: Sidewalk/pedestrian zone adjacent to a roadway with parked vehicles in a mixed urban setting. Step 5 – Anomaly Detection: The utility cover appears flush with the pavement and there are no visible openings, obstructions, or obvious tripping hazards discernible at this resolution. No people are clearly visible besides a shadow, and no vehicles are in motion. Given the blur, subtle defects cannot be confirmed, so no specific anomaly is recorded. Overall the scene appears typical and not actively hazardous based on visible evidence.</t>
  </si>
  <si>
    <t>blurred_downsampled/normal_039.png</t>
  </si>
  <si>
    <t>Blurred view of a narrow sidewalk beside parallel-parked cars, with a hedge on one side and a person’s shadow in the foreground.</t>
  </si>
  <si>
    <t>[{"id": "obj_1", "class": "sidewalk", "description": "Long, narrow sidewalk running from bottom center to top center of the image, bordered by a low curb/edge.", "position": "center, extending from foreground to background", "orientation": "aligned with image vertical axis"}, {"id": "obj_2", "class": "parked_cars", "description": "Row of parked cars along the right side of the sidewalk, next to the street.", "position": "right side of scene, parallel to sidewalk", "orientation": "parked parallel to curb, facing away from camera"}, {"id": "obj_3", "class": "vegetation_hedge", "description": "Dense hedge or bushes along the left edge of the sidewalk.", "position": "left side of scene, parallel to sidewalk", "orientation": "linear, following sidewalk"}, {"id": "obj_4", "class": "person_shadow", "description": "Shadow of the photographer cast on the sidewalk in the lower part of the image.", "position": "bottom center of sidewalk", "orientation": "shadow stretching slightly upward on the path"}, {"id": "obj_5", "class": "utility_cover", "description": "Rectangular cover or hatch embedded in the sidewalk near the lower middle part of the frame.", "position": "lower center of sidewalk", "orientation": "flat, aligned with sidewalk edges"}, {"id": "obj_6", "class": "curb_markings", "description": "Painted curb with alternating or solid color (appears blue/white) beside the parked cars.", "position": "right edge of sidewalk between sidewalk and street", "orientation": "parallel to sidewalk"}]</t>
  </si>
  <si>
    <t>Step 1 – Geolocation &amp; Context: The presence of a narrow, raised sidewalk, parallel-parked cars, and what appears to be blue/white curb markings suggests an urban or suburban environment, possibly Mediterranean or Middle Eastern cities where such curb colors are common; however, due to heavy blur, this is low-confidence. Step 2 – Scene Type: This is primarily a sidewalk/pedestrian zone adjacent to a roadway in a mixed urban environment. Step 3 – Scene Description: The image shows a person standing on a sidewalk adjacent to parked cars on a street, with a hedge on the opposite side; a utility cover is embedded in the walking path. Step 4 – Object Identification: Main elements affecting safety are the sidewalk, hedge (constraining width/visibility), parked cars (potential for door opening or pedestrians stepping out), and the utility cover (possible trip hazard, though no defect is visible). Step 5 – Anomaly Detection: Due to the blur, there is no clear evidence of damaged infrastructure, obstructions, or hazardous behavior. The sidewalk appears clear and level; cars are properly parked along the street side; no pedestrians, cyclists, or vehicles are seen engaging in abnormal actions. Step 6 – Risk Assessment: As no distinct anomaly can be reliably identified, no specific exposed group or abnormal risk is assigned, and all risk scores remain at baseline. Step 7 – Spatial Localization: Not applicable since no anomalies are detected. Step 8 – Reasoning: With limited visual resolution, the conservative approach is to only flag clearly visible hazards; none are confidently discernible here. Step 9 – Overall Safety Impact: The situation appears generally safe and typical for an urban sidewalk next to parked cars, with only normal, everyday background risk for pedestrians.</t>
  </si>
  <si>
    <t>blurred_downsampled/7605.jpg</t>
  </si>
  <si>
    <t>Very blurred view of a wet paved surface, likely a sidewalk or narrow street, with what appears to be a large dark depression or hole in the pavement near the foreground.</t>
  </si>
  <si>
    <t>[{"id": "obj_1", "class": "paved_surface", "description": "Wet paved area made of rectangular blocks, possibly a sidewalk or narrow street, extending into the distance", "position": "occupies most of the image, especially center and right side", "orientation": "surface roughly horizontal in world coordinates, receding away from the viewer"}, {"id": "obj_2", "class": "possible_hole_or_manhole", "description": "Large dark oval or circular area that looks like an opening or depression in the pavement", "position": "lower-left to center-left foreground", "orientation": "flat and roughly aligned with pavement surface"}]</t>
  </si>
  <si>
    <t>[{"id": "anom_1", "related_objects": ["obj_2"], "type": "surface_opening_or_depression", "description": "A large dark oval region in the pavement that may be an open manhole or deep depression, posing a potential trip or fall hazard for pedestrians and possible wheel entrapment for small vehicles.", "risk_score_1_to_10": 6, "risk_target": ["pedestrians", "cyclists"], "region": {"x_center_norm": 0.35, "y_center_norm": 0.62, "width_norm": 0.45, "height_norm": 0.35}, "reasoning": "Although the image is heavily blurred, the distinct dark oval in the foreground contrasts with the surrounding pavers and resembles an opening or significant depression. On a wet surface this could be slippery and difficult to notice, creating a moderate risk of trips or falls for pedestrians and potential loss of control for cyclists or small wheeled devices."}]</t>
  </si>
  <si>
    <t>Step 1 – Geolocation &amp; Context: The scene looks like a wet paved area with rectangular blocks, common in many urban environments worldwide. No signage, vehicles, or distinct architectural cues are visible due to heavy blur. Location assessment: low-confidence, assumed generic urban or semi-urban pedestrian setting. Step 2 – Scene Type: Primarily sidewalk/pedestrian or narrow paved lane. Step 8 – Reasoning: The major identifiable feature is the dark oval region that deviates from the otherwise regular block pattern, suggesting a potential opening, missing cover, or deep puddle. Given the wet conditions and limited visibility, it is prudent to treat it as a moderate safety anomaly even though the blur prevents precise classification.</t>
  </si>
  <si>
    <t>blurred_downsampled/alligator10_png.rf.04feb7fa1def1ab2b3d1fcb03ec93949.jpg</t>
  </si>
  <si>
    <t>Blurred roadside scene with two small dark animals on or near the edge of a paved roadway by a grassy verge and guardrail.</t>
  </si>
  <si>
    <t>[{"id": "obj_1", "class": "roadway", "description": "Paved road surface with lane edge marking on the left side of the image", "position": "foreground and left side of frame", "orientation": "road appears to run roughly horizontally across the image"}, {"id": "obj_2", "class": "guardrail", "description": "Light-colored roadside guardrail separating the road from vegetation", "position": "upper portion of image, running horizontally", "orientation": "parallel to road"}, {"id": "obj_3", "class": "vegetation", "description": "Grass or low plants along the side of the road behind the curb", "position": "upper-middle area between curb and guardrail", "orientation": "alongside road"}, {"id": "obj_4", "class": "animals", "description": "Two small dark elongated animals or animal-like shapes on or right next to the road edge by the curb", "position": "lower-center near border between roadway and vegetation strip", "orientation": "roughly aligned with curb; individual orientations unclear"}]</t>
  </si>
  <si>
    <t>[{"id": "anom_1", "related_objects": ["obj_1", "obj_4"], "type": "animals_on_roadway", "description": "Two small animals (possibly reptiles or similar wildlife) are present on or immediately adjacent to the paved road surface, creating a potential collision and swerving hazard for vehicles.", "risk_score_1_to_10": 5, "risk_target": ["drivers", "general_civilians"], "region": {"x_center_norm": 0.55, "y_center_norm": 0.62, "width_norm": 0.25, "height_norm": 0.25}, "reasoning": "Animals on or near an active roadway can be struck, cause drivers to brake or swerve abruptly, and contribute to loss-of-control crashes. The scene shows a road with a guardrail, suggesting vehicle traffic. Even though the frame is blurred and the animals are small, their location right at the road edge represents a moderate safety concern, especially at speed."}]</t>
  </si>
  <si>
    <t>Geolocation confidence is low due to heavy blur; appears to be a generic paved road with a guardrail and vegetation, consistent with many regions. Risk score assumes this is a vehicular roadway with typical speeds.</t>
  </si>
  <si>
    <t>blurred_downsampled/C_000002_36.jpg</t>
  </si>
  <si>
    <t>Blurry dashcam-style view of a two-lane rural road with a large orange truck crossing or turning across the lane in front of the camera vehicle and a white car approaching from the opposite direction.</t>
  </si>
  <si>
    <t>[{"id": "obj_1", "class": "truck", "description": "Large orange truck positioned across or angled across the road ahead of the camera vehicle, partially blocking the lane", "position": "center of frame, spanning across the roadway ahead", "orientation": "angled roughly perpendicular or oblique to the camera, as if turning or crossing the road"}, {"id": "obj_2", "class": "car", "description": "Small white car traveling toward the camera in the opposing lane", "position": "left side of frame in the oncoming lane of the road", "orientation": "facing toward the camera, moving forward in its lane"}, {"id": "obj_3", "class": "roadway", "description": "Two-lane rural road with open surroundings and no visible physical median", "position": "extending from bottom foreground to mid-frame under the vehicles", "orientation": "aligned roughly from bottom center toward upper center of the image"}]</t>
  </si>
  <si>
    <t>[{"id": "anom_1", "related_objects": ["obj_1", "obj_2"], "type": "truck obstructing lane / potential conflict with oncoming traffic", "description": "The large truck appears to be crossing or turning across the road, occupying much of the lane ahead and partly the opposing lane, creating a potential collision path with both the camera vehicle and the oncoming white car.", "risk_score_1_to_10": 7, "risk_target": ["drivers"], "region": {"x_center_norm": 0.55, "y_center_norm": 0.48, "width_norm": 0.55, "height_norm": 0.35}, "reasoning": "The truck is broadside across or sharply angled across the travel lanes rather than aligned with them, which is unusual for normal lane-following motion and suggests an active crossing or turning maneuver that may not yet be completed. With an oncoming car present and the camera vehicle approaching, there is a heightened risk of side-impact or head‑on collision if braking or yielding is insufficient. The rural road context likely lacks barriers and has higher approach speeds, amplifying risk."}]</t>
  </si>
  <si>
    <t>Image is heavily blurred, so precise positions and motion vectors are uncertain; assessment is based on coarse shapes and relative placement. Geolocation and cultural context are low-confidence but consistent with a generic rural or peri-urban road, possibly in Eastern Europe or a similar region, inferred from dashcam style and truck appearance.</t>
  </si>
  <si>
    <t>blurred_downsampled/0067.jpg</t>
  </si>
  <si>
    <t>Blurred image of a paved surface next to a vegetated area with what appears to be an animal lying on or near the road.</t>
  </si>
  <si>
    <t>[{"id": "obj_1", "class": "road", "description": "Gray paved surface occupying most of the right side of the image", "position": "right and central area of scene", "orientation": "aligned vertically in the frame"}, {"id": "obj_2", "class": "vegetation", "description": "Green grassy or low vegetation strip along the edge of the paved surface", "position": "left side of the road area", "orientation": "runs roughly parallel to the road"}, {"id": "obj_3", "class": "animal", "description": "Indistinct, light-colored animal-like shape lying on the paved surface", "position": "right-central portion of the road", "orientation": "prone on surface; exact pose unclear due to blur"}]</t>
  </si>
  <si>
    <t>[{"id": "anom_1", "related_objects": ["obj_1", "obj_3"], "type": "animal_on_roadway", "description": "An animal-like figure appears to be lying on the paved road surface, posing a potential obstruction or collision hazard.", "risk_score_1_to_10": 5, "risk_target": ["drivers", "cyclists"], "region": {"x_center_norm": 0.72, "y_center_norm": 0.52, "width_norm": 0.25, "height_norm": 0.35}, "reasoning": "The shape on the road is consistent with an animal lying still, which is unusual and unsafe on an active roadway. Even if the road is lightly trafficked, a stationary animal can cause drivers or cyclists to swerve or collide, representing a moderate context-independent risk. Exact severity is uncertain because traffic level and animal condition are not visible."}]</t>
  </si>
  <si>
    <t>Geolocation: low-confidence; looks like a generic rural or peri-urban paved road beside vegetation in a temperate region. Image is highly blurred, so classification of the object as an animal and road usage intensity are uncertain; risk scored conservatively at a moderate level.</t>
  </si>
  <si>
    <t>blurred_downsampled/normal_075.png</t>
  </si>
  <si>
    <t>Urban sidewalk alongside a road with a few pedestrians and storefronts; no clear hazards visible due to heavy blur.</t>
  </si>
  <si>
    <t>[{"id": "obj_1", "class": "sidewalk", "description": "Paved pedestrian walkway running from bottom center toward top center of the image, adjacent to building fronts on the right", "position": "foreground to background, center-right", "orientation": "aligned parallel to the road"}, {"id": "obj_2", "class": "road", "description": "Vehicle lane running parallel to the sidewalk on the left side of the image", "position": "left side, extending from bottom left to upper left", "orientation": "parallel to sidewalk"}, {"id": "obj_3", "class": "pedestrian", "description": "Indistinct figure walking along the sidewalk further up the path", "position": "upper center of the image on the sidewalk", "orientation": "appears to be moving away from the camera along the sidewalk"}, {"id": "obj_4", "class": "building_front", "description": "Row of commercial or residential building fronts with awnings along the right edge of the sidewalk", "position": "right side of the image", "orientation": "faces toward the sidewalk"}, {"id": "obj_5", "class": "awning", "description": "Bright-colored awnings extending from the building over the sidewalk area", "position": "upper right", "orientation": "horizontal extension over sidewalk"}, {"id": "obj_6", "class": "bollard_or_post", "description": "Short vertical post or bollard near the curb of the sidewalk", "position": "near center of image along edge between sidewalk and road", "orientation": "vertical"}]</t>
  </si>
  <si>
    <t>Step 1 – Geolocation &amp; Context: Likely an urban street in a warm-climate city (medium-confidence) based on sidewalk, curb, and awnings; exact country is indeterminate due to strong blur. No visible signage or clear markings to refine location. Step 2 – Scene Type: Roadway/traffic environment plus sidewalk and mixed urban frontage. Step 3–5 – Description &amp; Anomalies: Image is heavily blurred, limiting detail; within what can be discerned, pedestrians appear on sidewalk, vehicles (if present) are not clearly visible, and no clear encroachment onto the road, damage, obstruction, or hazardous behavior is evident. Because of the blur, subtle hazards (e.g., small obstacles, surface defects) cannot be reliably identified; therefore no specific anomaly is recorded, and risk is set to 0 based only on clearly visible information.</t>
  </si>
  <si>
    <t>blurred_downsampled/541.jpg</t>
  </si>
  <si>
    <t>Blurred view of a paved roadway with prominent surface cracks and lane markings.</t>
  </si>
  <si>
    <t>[{"id": "obj_1", "class": "roadway", "description": "Paved road surface filling most of the frame with visible lane markings", "position": "occupying central and lower parts of the image, extending into the distance", "orientation": "road extends roughly from bottom toward top of image"}, {"id": "obj_2", "class": "lane_markings", "description": "White painted lines indicating traffic lanes", "position": "right side of the road surface, running vertically in the image", "orientation": "parallel to road direction"}, {"id": "obj_3", "class": "road_damage", "description": "Dark, irregular longitudinal cracks and gaps in the road surface", "position": "center and left portions of the roadway, roughly following the road direction", "orientation": "aligned longitudinally with the road"}]</t>
  </si>
  <si>
    <t>[{"id": "anom_1", "related_objects": ["obj_1", "obj_3"], "type": "severely_damaged_road_surface", "description": "Significant longitudinal cracking and possible subsidence or gaps in the roadway surface along the traffic path.", "risk_score_1_to_10": 7, "risk_target": ["drivers", "motorcyclists", "cyclists"], "region": {"x_center_norm": 0.5, "y_center_norm": 0.55, "width_norm": 0.7, "height_norm": 0.6}, "reasoning": "The road surface shows multiple dark, irregular cracks and separations along the direction of travel where vehicles would normally drive. Such damage can destabilize vehicles, especially at speed or for two-wheelers, and may indicate deeper structural failure. Even though the image is blurred, the pattern and scale of dark regions deviating from normal pavement texture clearly suggest abnormal road deterioration."}]</t>
  </si>
  <si>
    <t>Step 1 – Geolocation &amp; Context: The scene appears to be a generic paved roadway with standard white lane markings; no clear signage or region-specific cues are visible. Likely a road in a developed area, but geographic inference is low-confidence. The risk assessment assumes typical motor-vehicle speeds on such roads. Step 2 – Scene Type: Primary scene type is roadway/traffic environment with no visible pedestrians or vehicles at this moment. Blurring limits fine-grain detail, but the roadway damage is still distinguishable.</t>
  </si>
  <si>
    <t>blurred_downsampled/X9t7Kvwt24kjxjO05f5vXw.jpg</t>
  </si>
  <si>
    <t>Mountainous two-lane road with guardrails and winding-road warning sign, surrounded by dense green vegetation.</t>
  </si>
  <si>
    <t>[{"id": "obj_1", "class": "roadway", "description": "Paved two-lane mountain road curving to the right in the foreground", "position": "bottom center to right side of image", "orientation": "curving right, away from the camera"}, {"id": "obj_2", "class": "traffic_sign", "description": "Diamond-shaped yellow warning sign indicating winding or curvy road ahead", "position": "left side of road, mid-left of image", "orientation": "facing approaching drivers"}, {"id": "obj_3", "class": "guardrail", "description": "Metal guardrail following outer edge of road along the left and far side", "position": "left edge and distant center of road", "orientation": "parallel to road alignment"}, {"id": "obj_4", "class": "utility_pole", "description": "Tall utility/power poles with overhead lines running along the roadside", "position": "center and background of image near road edge", "orientation": "vertical poles with lines angled across upper image"}, {"id": "obj_5", "class": "cliff_or_rock_face", "description": "Steep rock or cliff face rising directly from right edge of road with vegetation", "position": "right side of image adjacent to roadway", "orientation": "vertical wall beside road"}, {"id": "obj_6", "class": "vegetation", "description": "Dense green forest and hillside vegetation surrounding the road", "position": "background and sides of the scene", "orientation": "covering slopes and roadside"}]</t>
  </si>
  <si>
    <t>Step 1 – Geolocation &amp; context: The scene likely represents a rural or mountainous roadway in a humid, forested region, possibly East Asia or a subtropical area, inferred from dense green hills, style of winding-road sign, and narrow mountain road with guardrails and utility poles. Confidence: low-to-medium due to heavy blur and lack of clear textual or cultural markers. Step 2 – Scene type: roadway/traffic environment and natural-urban interface (road through forested mountains). Step 3 – Description: A driver’s-eye view on a curving mountain road with a winding-road warning sign, guardrails, utility poles, and steep vegetated slopes; no visible vehicles, pedestrians, or animals. Step 5 – Anomaly detection: No clearly abnormal behaviors, obstructions, or infrastructure failures are apparent; steep drop-offs and curves are inherent road characteristics and are mitigated by warning sign and guardrails. Visibility of the source image is blurred due to capture quality, but that is not a real-world safety condition. Therefore, no specific anomalies or elevated risks beyond normal mountain-road driving are identified.</t>
  </si>
  <si>
    <t>blurred_downsampled/036.png</t>
  </si>
  <si>
    <t>Narrow street or alley with cars parked very close together, leaving little space for passage.</t>
  </si>
  <si>
    <t>[{"id": "obj_1", "class": "car", "description": "White car on the right side of the frame, close to the camera, aligned along the road edge.", "position": "right side of narrow roadway, foreground", "orientation": "oriented roughly along the road direction, front facing away from camera"}, {"id": "obj_2", "class": "car", "description": "Light-colored car further ahead in the middle distance, close to the right side of the road.", "position": "mid-frame, near center-right of the roadway", "orientation": "aligned along the roadway"}, {"id": "obj_3", "class": "car", "description": "Additional vehicle in the far background, partially visible, aligned along the same narrow lane.", "position": "background center-right", "orientation": "aligned along the roadway"}, {"id": "obj_4", "class": "wall_or_hedge", "description": "Continuous vertical boundary on the left side of the path or road.", "position": "left side of scene", "orientation": "parallel to roadway"}, {"id": "obj_5", "class": "road_or_pathway", "description": "Narrow paved surface between left boundary and parked cars.", "position": "center of scene, stretching from foreground to background", "orientation": "longitudinal from bottom toward top of image"}]</t>
  </si>
  <si>
    <t>[{"id": "anom_1", "related_objects": ["obj_1", "obj_2", "obj_5"], "type": "blocked_passage_narrow_road", "description": "Cars appear to be parked in a way that nearly obstructs a very narrow road or path, leaving minimal space for pedestrians or vehicles to pass safely.", "risk_score_1_to_10": 5, "risk_target": ["pedestrians", "drivers"], "region": {"x_center_norm": 0.65, "y_center_norm": 0.55, "width_norm": 0.6, "height_norm": 0.8}, "reasoning": "On a narrow corridor bordered by a wall or hedge, vehicles positioned close to the center-right leave little clearance. This can force pedestrians into contact with vehicles or make it difficult for another vehicle, bicycle, or emergency service to pass, increasing collision and entrapment risk, particularly in emergencies."}]</t>
  </si>
  <si>
    <t>Image is heavily blurred, so details like markings, signage, and exact road type are uncertain. Location context is low-confidence; likely a residential or small urban street in a temperate region based on typical cars and boundary vegetation/wall.</t>
  </si>
  <si>
    <t>blurred_downsampled/pexels-dibakar-roy-2432543-20989105.jpg</t>
  </si>
  <si>
    <t>Flooded urban street where a person is pushing a cycle-rickshaw with another person seated, moving through knee-deep water alongside a submerged roadway.</t>
  </si>
  <si>
    <t>[{"id": "obj_1", "class": "pedestrian", "description": "Person walking in water, pushing the front of a cycle-rickshaw or tricycle from the lower-right area toward the center", "position": "foreground right, in flooded roadway near roadside edge", "orientation": "facing toward camera/left while moving forward through water"}, {"id": "obj_2", "class": "passenger", "description": "Person seated under canopy on the cycle-rickshaw being pushed through the floodwater", "position": "right-center of image, above water level on vehicle seat", "orientation": "facing front-left toward camera"}, {"id": "obj_3", "class": "cycle_rickshaw", "description": "Cycle-rickshaw or tricycle with canopy being pushed through deep standing water", "position": "right-center foreground, partially submerged wheels", "orientation": "aligned roughly along the flooded street direction"}, {"id": "obj_4", "class": "roadway", "description": "Urban street completely covered by floodwater", "position": "covers most of lower and central frame from foreground to background", "orientation": "extends from front toward horizon"}, {"id": "obj_5", "class": "sidewalk_or_raised_edge", "description": "Raised paved edge or sidewalk above water level on the right side", "position": "right margin of image running from bottom to upper-right", "orientation": "parallel to flooded street"}, {"id": "obj_6", "class": "buildings", "description": "Dense urban buildings and structures lining both sides of the flooded street", "position": "background left and right", "orientation": "fronts facing the street"}]</t>
  </si>
  <si>
    <t>[{"id": "anom_1", "related_objects": ["obj_1", "obj_2", "obj_3", "obj_4"], "type": "urban_flooding", "description": "Severe flooding has turned the roadway into a deep water channel, forcing people and vehicles to move through knee-deep water.", "risk_score_1_to_10": 8, "risk_target": ["pedestrians", "drivers", "cyclists", "general_civilians"], "region": {"x_center_norm": 0.45, "y_center_norm": 0.65, "width_norm": 0.9, "height_norm": 0.7}, "reasoning": "Water appears deep enough to submerge the wheels of the rickshaw and reach near the knees of the walking person, indicating disrupted transport, possible hidden obstacles, open manholes, contamination, and risk of falls or vehicle instability in what should be a dry urban street."}, {"id": "anom_2", "related_objects": ["obj_1", "obj_3", "obj_5"], "type": "pedestrian_in_deep_water_with_vehicle", "description": "A person is wading through deep floodwater while manually pushing a heavily loaded cycle-rickshaw instead of staying on the raised edge.", "risk_score_1_to_10": 7, "risk_target": ["pedestrians"], "region": {"x_center_norm": 0.68, "y_center_norm": 0.66, "width_norm": 0.35, "height_norm": 0.6}, "reasoning": "Walking through deep, opaque water with a vehicle increases risk of tripping on unseen obstacles, stepping into open drains, or being knocked off balance by the vehicle's weight; the nearby raised edge suggests a somewhat safer walking surface exists."}]</t>
  </si>
  <si>
    <t>Step 1 – Geolocation &amp; Context: The scene shows a dense, likely Asian urban area with a cycle-rickshaw and narrow buildings along a street heavily flooded by rain or river overflow. Confidence is low-to-medium due to blur; assumed context is a low-lying city in South or Southeast Asia where rickshaws are common and urban flooding occurs. Step 2 – Scene Type: Mixed urban roadway with flooding, functioning temporarily as a water channel rather than normal traffic space. The main safety concern is flood-related risk to pedestrians and light vehicles.</t>
  </si>
  <si>
    <t>blurred_downsampled/normal_021.png</t>
  </si>
  <si>
    <t>Urban sidewalk adjacent to a street with parked or slow-moving cars; one visible pedestrian and some street furniture, generally normal conditions.</t>
  </si>
  <si>
    <t>[{"id": "obj_1", "class": "car", "description": "Light-colored car on the left side of the image along the curb, facing away from the camera", "position": "left-center of scene on roadway next to sidewalk", "orientation": "approximately facing away from viewer along street"}, {"id": "obj_2", "class": "pedestrian", "description": "Person in red clothing walking along the sidewalk near the right side of the frame", "position": "right-center of sidewalk area next to street", "orientation": "appears to be facing away from the camera, moving along the sidewalk"}, {"id": "obj_3", "class": "sidewalk", "description": "Paved pedestrian walkway occupying most of the foreground and center of image", "position": "foreground and center of image", "orientation": "runs parallel to the roadway"}, {"id": "obj_4", "class": "roadway", "description": "Vehicular lane adjacent to the sidewalk with visible red edge markings", "position": "left side running from foreground to background", "orientation": "extends away from the viewer"}, {"id": "obj_5", "class": "street_furniture", "description": "Pole or utility box on the right edge of the sidewalk", "position": "right foreground", "orientation": "fixed vertical object"}]</t>
  </si>
  <si>
    <t>Image is heavily blurred, limiting precise identification of smaller hazards (e.g., surface defects). Within what can be reliably seen, no abnormal behavior or obvious safety hazard is evident; typical urban sidewalk and street configuration.</t>
  </si>
  <si>
    <t>blurred_downsampled/0089.jpg</t>
  </si>
  <si>
    <t>Extremely blurred outdoor scene with water and vegetation; no clearly identifiable objects or activities.</t>
  </si>
  <si>
    <t>The image is too blurred to reliably distinguish specific objects such as people, vehicles, or infrastructure. Because no concrete entities or hazardous conditions can be identified, no anomalies or risks can be assessed from this frame.</t>
  </si>
  <si>
    <t>blurred_downsampled/pexels-abhisek-tripathy-467053315-35102061.jpg</t>
  </si>
  <si>
    <t>Urban street in what appears to be an Indian city with an auto-rickshaw stopped near the middle of the lane, motorcycles parked along the sides, and a few people on or near the roadway.</t>
  </si>
  <si>
    <t>[{"id": "obj_1", "class": "auto_rickshaw", "description": "Green and yellow three-wheeler stopped roughly in the middle of the street, facing away from the camera", "position": "center of the roadway, slightly toward the right side of the frame", "orientation": "facing away from viewer down the street"}, {"id": "obj_2", "class": "motorcycle", "description": "Motorcycle parked along the right edge of the street near shopfronts", "position": "right foreground at curbside", "orientation": "angled slightly toward the street"}, {"id": "obj_3", "class": "motorcycle", "description": "Motorcycle or scooter being ridden down the street", "position": "mid-left side of road, moving away from camera", "orientation": "traveling away from viewer along the street"}, {"id": "obj_4", "class": "pedestrian", "description": "Person seated or standing beside a cart or structure by the right sidewalk", "position": "right mid-ground near shopfront and parked motorcycle", "orientation": "facing towards cart/sidewalk area"}, {"id": "obj_5", "class": "building", "description": "Multi-story commercial and residential buildings lining both sides of the street", "position": "both sides of roadway", "orientation": "front facades facing the street"}, {"id": "obj_6", "class": "cart_or_stall", "description": "Small wheeled cart or stall adjacent to right-side building, close to street edge", "position": "right mid-ground, on or just off sidewalk", "orientation": "parallel to roadway"}]</t>
  </si>
  <si>
    <t>[{"id": "anom_1", "related_objects": ["obj_1"], "type": "stopped_vehicle_in_traffic_lane", "description": "Auto-rickshaw appears stopped or parked in the middle of the active traffic lane, potentially obstructing flow and forcing other vehicles to maneuver around it.", "risk_score_1_to_10": 4, "risk_target": ["drivers", "motorcyclists", "pedestrians"], "region": {"x_center_norm": 0.55, "y_center_norm": 0.55, "width_norm": 0.25, "height_norm": 0.45}, "reasoning": "In an urban Indian street context (inferred from architecture and auto-rickshaw design), short stops in-lane are somewhat common but still increase collision risk, especially for following motorcycles and vehicles with limited passing space. No immediate collision is visible, so risk is mild to moderate rather than acute."}]</t>
  </si>
  <si>
    <t>Geolocation inference: medium confidence for an Indian city based on auto-rickshaw style, building facades, and general streetscape. Image blur limits precise reading of markings or signage, so some details (e.g., exact motion state of vehicles) are inferred conservatively.</t>
  </si>
  <si>
    <t>blurred_downsampled/0059.png</t>
  </si>
  <si>
    <t>Sunny urban sidewalk with a large bush encroaching into the pedestrian path next to a low wall.</t>
  </si>
  <si>
    <t>[{"id": "obj_1", "class": "sidewalk", "description": "Paved pedestrian walkway extending from bottom left toward upper middle of the image", "position": "foreground and midground, mainly left and center of the frame", "orientation": "aligned roughly top–bottom in the image"}, {"id": "obj_2", "class": "vegetation", "description": "Large dense bush protruding into the sidewalk near a low wall", "position": "right-center of the image, between the sidewalk and the wall", "orientation": "bush extends laterally across part of the walking path"}, {"id": "obj_3", "class": "wall", "description": "Low light-colored wall running alongside the sidewalk", "position": "right side of the image", "orientation": "parallel to the sidewalk"}, {"id": "obj_4", "class": "building", "description": "Multi-story urban buildings in the background", "position": "upper part of the image, mostly right and center", "orientation": "facing toward the sidewalk"}]</t>
  </si>
  <si>
    <t>[{"id": "anom_1", "related_objects": ["obj_1", "obj_2"], "type": "vegetation obstructing sidewalk", "description": "A large bush appears to significantly narrow or partially block the sidewalk, potentially forcing pedestrians to step around it or off the main walking line.", "risk_score_1_to_10": 4, "risk_target": ["pedestrians"], "region": {"x_center_norm": 0.65, "y_center_norm": 0.55, "width_norm": 0.35, "height_norm": 0.5}, "reasoning": "The bush visibly protrudes into the walking space, reducing clear sidewalk width. This can create tripping or collision risk, particularly for people with limited mobility or reduced vision, and may force small lateral detours. However, there still appears to be some passable space, and no immediate drop-offs or traffic lanes are clearly adjacent, so the risk is moderate rather than severe."}]</t>
  </si>
  <si>
    <t>Geolocation and cultural context are low-confidence but consistent with a modern urban Mediterranean or similar warm-climate environment, based on bright light, paving style, and architecture. Assessment is limited by strong blur in the image.</t>
  </si>
  <si>
    <t>blurred_downsampled/1049.jpg</t>
  </si>
  <si>
    <t>Heavily blurred outdoor ground surface with a long narrow object lying on it.</t>
  </si>
  <si>
    <t>[{"id": "obj_1", "class": "unknown_object", "description": "Long, narrow, brownish object lying horizontally on a light-colored ground surface", "position": "approximate center of the scene, slightly below the midline", "orientation": "roughly horizontal"}, {"id": "obj_2", "class": "ground_surface", "description": "Flat, light-colored ground or pavement taking up most of the frame", "position": "entire background", "orientation": "horizontal plane"}]</t>
  </si>
  <si>
    <t>The image is extremely blurred, preventing reliable identification of objects, environment type, or specific hazards. No clear anomaly or abnormal risk can be determined from the available visual information.</t>
  </si>
  <si>
    <t>blurred_downsampled/0069.png</t>
  </si>
  <si>
    <t>Heavily blurred coastal scene with buildings, palm trees, and rough surf along a shoreline.</t>
  </si>
  <si>
    <t>[{"id": "obj_1", "class": "coastline", "description": "Shoreline running roughly from lower center toward upper right, with waves breaking onto the beach", "position": "central to right side of image", "orientation": "parallel to image diagonal from bottom center to upper right"}, {"id": "obj_2", "class": "ocean", "description": "Large body of water with visible waves and whitecaps", "position": "right and upper portions of image", "orientation": "waves approaching shore"}, {"id": "obj_3", "class": "buildings", "description": "Cluster of multi-story buildings near the shoreline", "position": "left side and upper-left background", "orientation": "facing toward the water"}, {"id": "obj_4", "class": "vegetation", "description": "Row of tall palm-like trees along the beachfront area", "position": "lower central area along the shore", "orientation": "vertical trunks along coast"}]</t>
  </si>
  <si>
    <t>Image is very blurred, making it difficult to distinguish details such as people, vehicles, or specific hazards. Scene appears to be a typical coastal urban area with waves; no clear anomalies or acute risks are visible.</t>
  </si>
  <si>
    <t>blurred_downsampled/0043.jpg</t>
  </si>
  <si>
    <t>Heavily blurred view of a tree-lined road or path extending forward through dense green vegetation.</t>
  </si>
  <si>
    <t>[{"id": "obj_1", "class": "roadway", "description": "Central paved road or path extending from bottom center into the distance", "position": "center foreground to center background", "orientation": "aligned roughly vertically from bottom to top of image"}, {"id": "obj_2", "class": "vegetation", "description": "Dense green trees or foliage lining both sides of the road", "position": "left and right sides of the scene", "orientation": "forming a canopy or corridor over/along the road"}]</t>
  </si>
  <si>
    <t>Step 1 – Geolocation &amp; Context: The image is extremely blurred, preventing reliable reading of markings or detailed infrastructure. It appears to be a temperate or subtropical, likely rural or semi-rural, tree-lined road or path. No signage, vehicles, or people are discernible. Geographic inference is low-confidence and essentially generic for wooded roadside environments. 
Step 2 – Scene Type: The primary scene type is a roadway/traffic environment within a natural-urban interface (road through dense vegetation). 
Step 3 – Description: A straight or gently curving paved surface runs from the foreground into a tunnel-like corridor of green foliage; no distinct objects such as cars, pedestrians, or signs can be clearly resolved. 
Step 4 – Object Identification: Only the general roadway/path (obj_1) and surrounding vegetation (obj_2) are clearly inferable at this level of blur. No humans, vehicles, animals, or explicit infrastructure elements (signs, poles, guardrails) can be confidently identified. 
Step 5 – Anomaly Detection: Because of the heavy blur, no specific unusual or unsafe behaviors, obstructions, or environmental hazards can be reliably detected. Any attempt to claim an anomaly (e.g., a person, animal, or vehicle) would be speculative. Therefore, no anomaly or abnormal risk is recorded. 
Step 6 – Risk Assessment: With no identifiable anomalies, no targeted risk scoring is applicable; overall risk is set to 0, acknowledging that real-world driving on such a road has normal background risk but nothing extra is visible in the frame. 
Step 7 – Spatial Localization: No anomalies to localize; only broad scene elements are present. 
Step 8 – Reasoning: The conclusion is constrained by image quality. The absence of visible vehicles, pedestrians, or hazards may be due to blur, not actual absence, so the analysis is conservative and does not assert risks that cannot be visually supported. 
Step 9 – Overall Safety Impact: From what can be seen, the scene appears generally safe and typical for a vegetated roadway; no specific additional hazard can be inferred from the frame alone.</t>
  </si>
  <si>
    <t>blurred_downsampled/7801.jpg</t>
  </si>
  <si>
    <t>Heavily blurred view of a paved roadway with a center line under open sky; no distinct objects or actors visible.</t>
  </si>
  <si>
    <t>[{"id": "obj_1", "class": "road", "description": "Main paved roadway extending from bottom center toward the horizon, with a faint central marking.", "position": "dominates lower and central portion of scene", "orientation": "aligned roughly vertically from foreground to background"}, {"id": "obj_2", "class": "sky", "description": "Bright sky occupying the upper part of the image.", "position": "upper half of scene", "orientation": "horizontal expanse"}]</t>
  </si>
  <si>
    <t>Step 1 – Geolocation &amp; Context: Due to extreme blur, only a generic paved road and sky can be inferred; no reliable geographic or cultural context can be determined (low-confidence). Step 2 – Scene Type: Roadway/traffic environment. Step 3 – Description: Straight road with central marking under a bright sky, surroundings indistinct. Step 4 – Object Identification: Only the road surface and sky are discernible; no clear vehicles, pedestrians, or other infrastructure can be identified. Step 5 – Anomaly Detection: No specific anomalies or abnormal risks can be detected because no discrete objects or behaviors are visible. Step 6 – Risk Assessment: With no identifiable hazards, risk is scored as 0, though this is limited by image quality. Step 7 – Spatial Localization: Not applicable, as no anomalies were found. Step 8 – Reasoning: The blur prevents recognizing any vehicles, humans, or obstacles; therefore, no concrete safety issues can be asserted. Step 9 – Overall Safety Impact: Scene appears indeterminate; categorised as safe by default due to lack of observable hazards, but assessment confidence is low due to image quality.</t>
  </si>
  <si>
    <t>blurred_downsampled/0057.png</t>
  </si>
  <si>
    <t>Very blurry image of a sidewalk next to a street with at least one pedestrian and parked vehicles.</t>
  </si>
  <si>
    <t>[{"id": "obj_1", "class": "pedestrian", "description": "Single person walking along the sidewalk near the left side of the image, close to parked vehicles", "position": "left side of sidewalk, foreground", "orientation": "facing roughly toward the camera"}, {"id": "obj_2", "class": "car", "description": "Row of vehicles parked along the curb beside the sidewalk", "position": "left edge of scene, extending from foreground to background along street side", "orientation": "aligned with road direction, parallel to sidewalk"}, {"id": "obj_3", "class": "sidewalk", "description": "Paved pedestrian walkway running from foreground to background", "position": "center of image", "orientation": "longitudinal, extending away from the camera"}, {"id": "obj_4", "class": "wall_or_fence_with_vegetation", "description": "Wall or fence with plants or bushes growing along it, bordering the sidewalk", "position": "right side of image", "orientation": "parallel to sidewalk"}]</t>
  </si>
  <si>
    <t>Geolocation &amp; context: low-confidence; this appears to be an urban or suburban sidewalk in a temperate or warm climate, inferred from parked cars and vegetation. The image is heavily blurred, which limits precise detection of hazards such as trip obstacles or traffic behavior. Nothing clearly abnormal or hazardous is visible given the resolution.</t>
  </si>
  <si>
    <t>blurred_downsampled/0064.jpg</t>
  </si>
  <si>
    <t>Large wild animals, likely bison, walking along a snowy road or path, with one prominent animal in the foreground and others behind.</t>
  </si>
  <si>
    <t>[{"id": "obj_1", "class": "large_animal", "description": "Single large animal in the foreground, centered, walking toward the camera on a snowy roadway or path", "position": "center foreground on main travel path", "orientation": "facing toward viewer/camera"}, {"id": "obj_2", "class": "large_animal", "description": "Large animal in the background left, following behind the front animal on the same snowy path", "position": "left background on travel path", "orientation": "generally facing toward viewer"}, {"id": "obj_3", "class": "large_animal", "description": "Large animal in the background center-left, following in line on snowy path", "position": "center-left background on travel path", "orientation": "generally facing toward viewer"}, {"id": "obj_4", "class": "large_animal", "description": "Large animal in the background center-right, further back on snowy path", "position": "center-right background on travel path", "orientation": "generally facing toward viewer"}, {"id": "obj_5", "class": "road_or_path", "description": "Snow-covered road or compacted snowy path extending into the distance", "position": "extending from foreground bottom to upper part of frame", "orientation": "aligned roughly vertically through image"}]</t>
  </si>
  <si>
    <t>[{"id": "anom_1", "related_objects": ["obj_1", "obj_2", "obj_3", "obj_4", "obj_5"], "type": "large_animals_on_roadway", "description": "Multiple large animals are occupying and walking along a snowy road or path where vehicles might travel, creating a potential collision and obstruction hazard.", "risk_score_1_to_10": 7, "risk_target": ["drivers", "vehicle_occupants", "pedestrians"], "region": {"x_center_norm": 0.5, "y_center_norm": 0.55, "width_norm": 0.9, "height_norm": 0.8}, "reasoning": "The scene shows several large animals walking directly on a snow-covered road or path, including one very close to the viewer's position, which is consistent with the viewpoint from a vehicle or person on the same route. Large wildlife on travel lanes can cause sudden stops, collisions, and injury to both animals and humans, especially on potentially slippery snowy surfaces. This is a recognized hazard even in regions where such wildlife is common."}]</t>
  </si>
  <si>
    <t>Step 1 – The snowy environment and presence of what appear to be bison suggest a rural or park setting in North America (e.g., U.S. or Canada), but image blur makes this a low- to medium-confidence geolocation. Risk is evaluated assuming this is a shared vehicle–wildlife corridor where encountering large wildlife on the road is hazardous but not rare.</t>
  </si>
  <si>
    <t>blurred_downsampled/1001.jpg</t>
  </si>
  <si>
    <t>Roadway surface with an open manhole surrounded by orange traffic cones, indicating a localized road hazard.</t>
  </si>
  <si>
    <t>[{"id": "obj_1", "class": "traffic_cone", "description": "Bright orange cone near bottom center of image on road surface", "position": "foreground, center-bottom of scene", "orientation": "upright"}, {"id": "obj_2", "class": "traffic_cone", "description": "Bright orange cone toward upper left on road surface", "position": "midground, left side of scene", "orientation": "upright"}, {"id": "obj_3", "class": "traffic_cone", "description": "Bright orange cone toward right side on road surface", "position": "midground, right side of scene", "orientation": "upright"}, {"id": "obj_4", "class": "traffic_cone", "description": "Bright orange cone toward upper middle on road surface", "position": "midground, near center-top of scene", "orientation": "upright"}, {"id": "obj_5", "class": "open_manhole", "description": "Dark circular opening in road surface with displaced manhole cover nearby", "position": "center-left of scene on roadway", "orientation": "opening vertically downward"}, {"id": "obj_6", "class": "manhole_cover", "description": "Round manhole cover lying beside the open manhole", "position": "left of the manhole opening on roadway", "orientation": "lying flat on road surface"}]</t>
  </si>
  <si>
    <t>[{"id": "anom_1", "related_objects": ["obj_5", "obj_6", "obj_1", "obj_2", "obj_3", "obj_4"], "type": "open_manhole_in_roadway", "description": "Open manhole in the roadway with the cover removed, partially surrounded by cones as a warning hazard.", "risk_score_1_to_10": 6, "risk_target": ["pedestrians", "drivers", "cyclists"], "region": {"x_center_norm": 0.4, "y_center_norm": 0.45, "width_norm": 0.35, "height_norm": 0.35}, "reasoning": "An open manhole on a road or paved surface is a fall and collision hazard. Although cones have been placed around it, the opening still presents a risk to pedestrians and two-wheeled vehicles that might maneuver between cones, and to vehicles if visibility is poor. The mitigation reduces but does not eliminate risk, so it is assessed as moderate."}]</t>
  </si>
  <si>
    <t>Location and cultural context are uncertain due to the blurred image and absence of signage or distinctive features; assumed generic urban roadway environment. Cones suggest active management of the hazard but spacing and coverage may not fully prevent accidental approach.</t>
  </si>
  <si>
    <t>blurred_downsampled/17.jpg</t>
  </si>
  <si>
    <t>Blurred view of a roadway edge with a large damaged section or pothole near the curb.</t>
  </si>
  <si>
    <t>[{"id": "obj_1", "class": "roadway", "description": "Paved road surface occupying the upper and central part of the image", "position": "center and upper portion of scene", "orientation": "running roughly left-right"}, {"id": "obj_2", "class": "sidewalk_or_shoulder", "description": "Smoother paved surface along the left side adjacent to the roadway", "position": "left side and lower-left of scene", "orientation": "parallel to roadway"}, {"id": "obj_3", "class": "pothole_or_road_damage", "description": "Large irregular depression and broken pavement at the edge of the road near the curb", "position": "lower-center to middle-right of scene along the curb line", "orientation": "elongated along the curb/road edge"}]</t>
  </si>
  <si>
    <t>[{"id": "anom_1", "related_objects": ["obj_1", "obj_2", "obj_3"], "type": "severe_road_surface_damage", "description": "Large pothole or collapsed section of pavement at the road edge near the curb that could disrupt vehicle travel and pose a tripping hazard for pedestrians.", "risk_score_1_to_10": 6, "risk_target": ["drivers", "pedestrians", "cyclists"], "region": {"x_center_norm": 0.55, "y_center_norm": 0.6, "width_norm": 0.6, "height_norm": 0.4}, "reasoning": "The damaged area appears deep and wide, spanning a significant length along the curb where wheels or feet could enter unexpectedly. For vehicles and cyclists, this could cause loss of control or damage; for pedestrians stepping near the edge, it presents a tripping or ankle injury hazard. No cones or barriers are visible marking the hazard, increasing the risk, though exact depth and traffic level are unclear due to image blur."}]</t>
  </si>
  <si>
    <t>Geographic location is uncertain due to lack of distinctive markings or signage; assessment is based on generic urban roadway conditions. Image blur limits precise measurement of the hole’s size and depth, so risk is estimated conservatively as moderate.</t>
  </si>
  <si>
    <t>blurred_downsampled/0008.png</t>
  </si>
  <si>
    <t>Blurred view of a sidewalk with a large cardboard box or object placed on the walking path near parked cars and greenery.</t>
  </si>
  <si>
    <t>[{"id": "obj_1", "class": "sidewalk", "description": "Paved brick sidewalk extending from foreground to background along the left side of the image", "position": "covers most of lower and central part of image, adjacent to street on the left", "orientation": "runs roughly from bottom toward top of image"}, {"id": "obj_2", "class": "car", "description": "White car parked along the curb beside the sidewalk", "position": "left-center to upper-left of image, aligned parallel to sidewalk", "orientation": "facing roughly away from the camera"}, {"id": "obj_3", "class": "obstruction", "description": "Large rectangular cardboard box or similar object standing upright on the sidewalk", "position": "right-center of the image, on the walking path near the edge of the greenery", "orientation": "upright vertical rectangle, broad side facing camera"}, {"id": "obj_4", "class": "vegetation", "description": "Dense green bushes or hedge forming the right boundary of the sidewalk", "position": "right side of the image along sidewalk edge", "orientation": "runs parallel to sidewalk"}, {"id": "obj_5", "class": "curb / street", "description": "Curb and part of roadway adjacent to the sidewalk and parked cars", "position": "left edge of the image beside the sidewalk", "orientation": "parallel to sidewalk"}]</t>
  </si>
  <si>
    <t>[{"id": "anom_1", "related_objects": ["obj_1", "obj_3"], "type": "sidewalk_obstruction", "description": "A large cardboard box or similar object is placed directly on the sidewalk, partially blocking the pedestrian path.", "risk_score_1_to_10": 4, "risk_target": ["pedestrians"], "region": {"x_center_norm": 0.62, "y_center_norm": 0.56, "width_norm": 0.22, "height_norm": 0.45}, "reasoning": "The upright rectangular object occupies a significant portion of the sidewalk width, forcing pedestrians to detour closer to the curb or vegetation. This is a tripping and collision hazard, especially for people with limited mobility or low visibility, but does not appear to pose an immediate severe danger."}]</t>
  </si>
  <si>
    <t>Geolocation is uncertain due to heavy blur; likely an urban or suburban sidewalk in a temperate region. Assessment is based solely on visible shapes and general urban norms.</t>
  </si>
  <si>
    <t>blurred_downsampled/0011.jpg</t>
  </si>
  <si>
    <t>Urban roadway with an open manhole in the pavement, partially surrounded by traffic cones.</t>
  </si>
  <si>
    <t>[{"id": "obj_1", "class": "open_manhole", "description": "Open manhole or large circular hole in the road surface near the center of the scene.", "position": "central area of the roadway", "orientation": "vertical opening in pavement"}, {"id": "obj_2", "class": "manhole_cover", "description": "Round manhole cover displaced to the side of the opening.", "position": "just left of the open manhole in the central area", "orientation": "lying flat on road surface"}, {"id": "obj_3", "class": "traffic_cone", "description": "Bright orange traffic cone in the foreground.", "position": "near bottom-center of the frame on the road surface", "orientation": "upright"}, {"id": "obj_4", "class": "traffic_cone", "description": "Bright orange traffic cone on the right side.", "position": "right-central edge of the frame on the road surface", "orientation": "upright"}, {"id": "obj_5", "class": "traffic_cone", "description": "Bright orange traffic cone toward the top of the frame.", "position": "upper-central part of the frame on the road surface", "orientation": "upright"}, {"id": "obj_6", "class": "traffic_cone", "description": "Bright orange traffic cone toward the left side.", "position": "left-central portion of the frame on the road surface", "orientation": "upright"}]</t>
  </si>
  <si>
    <t>[{"id": "anom_1", "related_objects": ["obj_1", "obj_2", "obj_3", "obj_4", "obj_5", "obj_6"], "type": "open_manhole_in_roadway", "description": "Open manhole in the roadway with cover displaced to the side, marked by a few cones but still presenting a fall and vehicle hazard.", "risk_score_1_to_10": 7, "risk_target": ["pedestrians", "drivers", "cyclists"], "region": {"x_center_norm": 0.5, "y_center_norm": 0.5, "width_norm": 0.6, "height_norm": 0.6}, "reasoning": "An open manhole on a road is a significant hazard: pedestrians or cyclists could fall in and vehicles could be damaged or lose control. Although the traffic cones provide some warning, they may not be sufficient from all approach angles or at higher speeds, so the residual risk remains high."}]</t>
  </si>
  <si>
    <t>Location context is low-confidence but appears to be a typical urban roadway; the risk assessment is based on general urban traffic norms. No people or vehicles are visible, but the infrastructure condition itself is hazardous.</t>
  </si>
  <si>
    <t>blurred_downsampled/0033.jpg</t>
  </si>
  <si>
    <t>Blurry view of a paved roadway surface with visible potholes filled with water, likely in an outdoor roadside environment.</t>
  </si>
  <si>
    <t>[{"id": "obj_1", "class": "roadway", "description": "Paved road surface occupying most of the frame, with a faint longitudinal marking or edge line toward the left side", "position": "extends across the image foreground and middle ground", "orientation": "road aligned roughly from bottom-left foreground toward upper-right background"}, {"id": "obj_2", "class": "pothole", "description": "Irregular depression(s) in the road surface containing water", "position": "lower-right to central area of the image on the road surface", "orientation": "lying along the right side of the traveled way"}, {"id": "obj_3", "class": "vegetation", "description": "Green vegetation or tree line beyond the road", "position": "background upper edge of the image", "orientation": "bordering the far side of the road"}]</t>
  </si>
  <si>
    <t>[{"id": "anom_1", "related_objects": ["obj_1", "obj_2"], "type": "road_surface_damage", "description": "Potholes and surface deterioration on the roadway, including water-filled depressions that can cause vehicle damage, loss of control, or trip hazards.", "risk_score_1_to_10": 5, "risk_target": ["drivers", "cyclists", "pedestrians"], "region": {"x_center_norm": 0.6, "y_center_norm": 0.65, "width_norm": 0.5, "height_norm": 0.4}, "reasoning": "The visible depressions and pooled water on the roadway indicate potholes or surface failure. Such defects increase the risk of tire damage, steering disturbances, and falls for cyclists or pedestrians. The overall traffic environment appears low-density with no visible vehicles, so the risk is moderate rather than severe but still significant for road users."}]</t>
  </si>
  <si>
    <t>Geolocation and cultural context are low-confidence due to heavy blur; analysis is based on generic paved-road conditions. No humans or vehicles are visible, so risk is inferred from infrastructure condition rather than active conflicts.</t>
  </si>
  <si>
    <t>blurred_downsampled/504.jpg</t>
  </si>
  <si>
    <t>Rural or remote paved road with a large longitudinal crack or fissure running along the roadway surface.</t>
  </si>
  <si>
    <t>[{"id": "obj_1", "class": "roadway", "description": "Paved road surface extending into the distance, likely two-lane rural road", "position": "occupies most of the frame from bottom foreground to mid-distance", "orientation": "aligned roughly from bottom center toward upper center of the image"}, {"id": "obj_2", "class": "road_damage", "description": "Large irregular crack or fissure running along the center of the road surface", "position": "starting near the bottom center foreground and extending toward the center-middle of the frame", "orientation": "roughly longitudinal along the road with some branching"}, {"id": "obj_3", "class": "hillside_or_embankment", "description": "Raised terrain or hillside along the side of the road", "position": "right side background of the scene", "orientation": "parallel to the road"}, {"id": "obj_4", "class": "vegetation", "description": "Blurred trees or shrubs near the road", "position": "left background of the scene", "orientation": "standing vertically"}]</t>
  </si>
  <si>
    <t>[{"id": "anom_1", "related_objects": ["obj_1", "obj_2"], "type": "severe_road_surface_damage", "description": "A prominent crack or fissure splits the paved road surface, creating a major discontinuity that could destabilize vehicles or indicate underlying structural or seismic damage.", "risk_score_1_to_10": 8, "risk_target": ["drivers", "motorcyclists", "cyclists"], "region": {"x_center_norm": 0.5, "y_center_norm": 0.6, "width_norm": 0.5, "height_norm": 0.7}, "reasoning": "The visible crack is wide, irregular, and longitudinal, suggesting more than minor wear. Such a fissure can catch wheels, alter vehicle trajectory, or mark a partially collapsed subgrade. On a likely rural road where speeds may be moderate and lighting or signage uncertain, this presents a high risk of loss of control, especially for two-wheeled vehicles and at night or in poor visibility."}]</t>
  </si>
  <si>
    <t>Geolocation is low-confidence; the scene could be in many dry, hilly regions. The image is blurred, so exact crack depth and lane markings are not visible, but the fissure appears sufficiently large to justify treating it as a serious hazard.</t>
  </si>
  <si>
    <t>blurred_downsampled/0020.jpg</t>
  </si>
  <si>
    <t>Close-up of a road or bike lane surface with a painted cyclist symbol and a large water-filled pothole.</t>
  </si>
  <si>
    <t>[{"id": "obj_1", "class": "road_surface", "description": "Asphalt surface with a green-painted section indicating a designated lane", "position": "covers most of the frame", "orientation": "horizontal plane"}, {"id": "obj_2", "class": "lane_marking", "description": "White painted bicycle or cyclist symbol on green pavement, indicating a bike lane or cycling path", "position": "left half of the image", "orientation": "aligned with lane direction"}, {"id": "obj_3", "class": "pothole", "description": "Irregularly shaped pothole filled with water on the edge of the green lane and adjacent asphalt", "position": "right-center of the image, partly encroaching on the marked lane", "orientation": "depression in road surface"}, {"id": "obj_4", "class": "standing_water", "description": "Water accumulated inside the pothole", "position": "within the pothole in the right-center of the image", "orientation": "flat water surface"}]</t>
  </si>
  <si>
    <t>[{"id": "anom_1", "related_objects": ["obj_2", "obj_3", "obj_4"], "type": "damaged_infrastructure_pothole", "description": "Large water-filled pothole encroaching on a designated bike lane, creating a hazard for cyclists and potentially other small-wheel users.", "risk_score_1_to_10": 6, "risk_target": ["cyclists", "scooter_riders", "pedestrians"], "region": {"x_center_norm": 0.68, "y_center_norm": 0.53, "width_norm": 0.32, "height_norm": 0.4}, "reasoning": "The bike-lane marking indicates this space is intended for cyclists, who are particularly vulnerable to surface defects. The pothole is sizable and filled with water, which can obscure its depth and shape. Hitting it or swerving suddenly to avoid it can cause loss of control or collisions with other users. The risk is moderate rather than extreme because vehicle speeds in bike lanes are typically lower than on main carriageways, but it is a clear safety issue."}]</t>
  </si>
  <si>
    <t>Geolocation and cultural context are low-confidence; the green lane and bicycle symbol are common in many urban areas worldwide. The image is blurred, so exact dimensions of the pothole are uncertain, but its relative size and position within the lane are sufficient to treat it as a meaningful hazard.</t>
  </si>
  <si>
    <t>blurred_downsampled/0050.jpg</t>
  </si>
  <si>
    <t>Heavily blurred view of a paved ground surface with what appears to be an open circular cover or manhole and some irregular object or debris beside it.</t>
  </si>
  <si>
    <t>[{"id": "obj_1", "class": "ground_surface", "description": "Light-colored paved or tiled surface covering the entire background", "position": "fills the scene; serves as walking or standing surface", "orientation": "horizontal"}, {"id": "obj_2", "class": "circular_opening_likely_manhole", "description": "Dark circular shape resembling an open manhole or cover lying flat on the ground, left of center", "position": "left-center of image on the ground surface", "orientation": "horizontal, parallel to ground"}, {"id": "obj_3", "class": "irregular_object_or_debris", "description": "Bulky, irregular object near the circular opening, possibly a displaced cover or debris", "position": "center-right of image, adjacent to circular opening", "orientation": "resting on ground; exact shape indeterminate due to blur"}]</t>
  </si>
  <si>
    <t>[{"id": "anom_1", "related_objects": ["obj_2", "obj_3"], "type": "open_or_unsecured_ground_opening", "description": "A circular opening or cover appears open or displaced on a walking surface, creating a potential trip or fall hazard.", "risk_score_1_to_10": 6, "risk_target": ["pedestrians"], "region": {"x_center_norm": 0.5, "y_center_norm": 0.55, "width_norm": 0.7, "height_norm": 0.6}, "reasoning": "On what appears to be a pedestrian or paved area, a dark circular feature and adjacent bulky object suggest a manhole or ground cover that is open or shifted from its normal position. If this is an active walking area, an unmarked or open opening presents a moderate risk of trips or falls, especially because no clear barriers or warnings are discernible. Image blur prevents precise identification, so risk is rated moderate rather than high."}]</t>
  </si>
  <si>
    <t>Geolocation is low-confidence; the paved surface could be from many urban settings worldwide. Strong blur limits certainty about whether the circular shape is a true open manhole or just a decorative feature, but the configuration is treated conservatively as a potential ground opening hazard.</t>
  </si>
  <si>
    <t>blurred_downsampled/605.jpg</t>
  </si>
  <si>
    <t>Highly blurred view of a paved road with vegetation on the sides and a dark elongated mark or crack along one road edge.</t>
  </si>
  <si>
    <t>[{"id": "obj_1", "class": "road", "description": "Paved roadway extending into the distance, occupying most of the frame", "position": "center of scene, running from bottom foreground to upper background", "orientation": "aligned roughly from bottom-center toward upper-center"}, {"id": "obj_2", "class": "vegetation", "description": "Green foliage and plants bordering the road", "position": "left and right edges of the scene along the sides of the road", "orientation": "static roadside vegetation"}, {"id": "obj_3", "class": "road_surface_mark_or_damage", "description": "Dark elongated irregular line or band along one side of the road surface, possibly a crack, patch, or stain", "position": "left side of the road, running from lower-left toward upper-left", "orientation": "roughly parallel to the road direction"}]</t>
  </si>
  <si>
    <t>The image is extremely blurred, making fine details and specific hazards (such as potholes, people, or vehicles) impossible to confirm. The dark line on the left side of the road could indicate surface damage or a patch, but due to low image clarity it cannot be reliably classified as an anomaly or clear safety risk.</t>
  </si>
  <si>
    <t>blurred_downsampled/0105.jpg</t>
  </si>
  <si>
    <t>Narrow urban street between historic pink stone buildings, with a cow standing near the curb and a parked bicycle, no visible motor traffic.</t>
  </si>
  <si>
    <t>[{"id": "obj_1", "class": "building", "description": "Tall pink stone multi-story building with many windows on the left side of the street", "position": "left side, extending from foreground to deep background", "orientation": "faces the street, parallel to view direction"}, {"id": "obj_2", "class": "building", "description": "Ornate pink stone corner building with projecting balcony and turquoise windows on the right", "position": "right foreground and midground", "orientation": "angled along curved street"}, {"id": "obj_3", "class": "roadway", "description": "Curved, relatively narrow paved street between the buildings", "position": "center of image, from bottom edge curving to background center", "orientation": "curving away from camera"}, {"id": "obj_4", "class": "cow", "description": "Single cow standing near curb on side of street", "position": "lower left-mid area near edge of roadway", "orientation": "roughly facing right toward center of road"}, {"id": "obj_5", "class": "bicycle", "description": "Bicycle parked on the side of the street near the cow", "position": "lower left corner, adjacent to curb", "orientation": "aligned roughly with street direction"}]</t>
  </si>
  <si>
    <t>[{"id": "anom_1", "related_objects": ["obj_3", "obj_4"], "type": "animal_on_roadway", "description": "Cow standing on or immediately adjacent to a vehicular roadway in an urban street.", "risk_score_1_to_10": 4, "risk_target": ["drivers", "pedestrians", "cyclists"], "region": {"x_center_norm": 0.18, "y_center_norm": 0.7, "width_norm": 0.2, "height_norm": 0.2}, "reasoning": "The cow is within the carriageway area where vehicles would normally travel, creating a potential collision hazard or sudden braking scenario. In a likely South Asian old-city context, animals on roads are relatively common and generally managed at low speeds, so this constitutes a mild to moderate but not extreme risk given the apparent absence of current motor traffic."}]</t>
  </si>
  <si>
    <t>Step 1 – Geolocation &amp; context: The architecture with pink sandstone-like facades, dense windows, narrow curving lane, and presence of a street cow suggests an old-city environment in South Asia, likely northern India (e.g., Rajasthan). Confidence: medium; assumption is that this is a mixed-traffic low-speed urban street where pedestrians, bicycles, and occasional vehicles share space. Step 2 – Scene type: roadway/traffic environment within a dense historic urban area. No other distinct hazards (flooding, debris, structural damage) are visible, and the street appears empty of motor vehicles at this moment.</t>
  </si>
  <si>
    <t>blurred_downsampled/0001.png</t>
  </si>
  <si>
    <t>Blurred nighttime urban street with sidewalk, curbside vegetation, and a vehicle on the road.</t>
  </si>
  <si>
    <t>[{"id": "obj_1", "class": "sidewalk", "description": "Paved pedestrian walkway in the foreground and right side of the image.", "position": "foreground and right side of scene, parallel to road", "orientation": "extends from bottom-right toward top-right of image"}, {"id": "obj_2", "class": "vegetation", "description": "Bushes or low plants along the edge of the sidewalk near the curb.", "position": "left-center of the foreground, along boundary between sidewalk and road", "orientation": "linear strip following curb line"}, {"id": "obj_3", "class": "road", "description": "Paved roadway adjacent to the sidewalk.", "position": "middle to upper part of image, left of sidewalk", "orientation": "runs roughly from bottom-left toward top-center"}, {"id": "obj_4", "class": "car", "description": "Single car on or beside the road, with lights visible.", "position": "upper-center-left of the image, near roadway", "orientation": "facing roughly toward or away from camera; exact direction unclear due to blur"}, {"id": "obj_5", "class": "buildings", "description": "Urban buildings with lights in the background.", "position": "upper portion of the image behind the road", "orientation": "fronts facing toward the street"}]</t>
  </si>
  <si>
    <t>Step 1 – Geolocation &amp; Context: The scene appears to be an urban street at night with a sidewalk and roadside planting. Due to strong blur, country or specific region cannot be determined (low-confidence assessment). Nothing clearly abnormal is visible: no pedestrians, no obvious blocking objects in the roadway, and no visible infrastructure damage or hazardous behavior. Because of the blur, small hazards (e.g., trash, curb damage) cannot be ruled out but are not identifiable, so no explicit anomalies are recorded.</t>
  </si>
  <si>
    <t>blurred_downsampled/0010.png</t>
  </si>
  <si>
    <t>Nighttime urban sidewalk with a covered two-wheeled vehicle positioned along the pedestrian path near benches and a tree, adjacent to a roadway.</t>
  </si>
  <si>
    <t>[{"id": "obj_1", "class": "motorcycle_or_scooter", "description": "Two-wheeled vehicle covered with a white tarp, stopped on the paved walkway facing away from the camera", "position": "center foreground on the sidewalk/pedestrian path", "orientation": "long axis aligned roughly with the path, rear facing the camera"}, {"id": "obj_2", "class": "sidewalk", "description": "Paved pedestrian walkway with lighter guiding strip along one side", "position": "extends from bottom foreground to upper middle of the image", "orientation": "longitudinally from bottom toward top of the frame"}, {"id": "obj_3", "class": "road", "description": "Vehicle roadway running parallel to the sidewalk", "position": "left side background adjacent to the sidewalk", "orientation": "parallel to sidewalk"}, {"id": "obj_4", "class": "bench", "description": "Public seating bench along the edge of the sidewalk", "position": "right side mid-foreground", "orientation": "parallel to sidewalk"}, {"id": "obj_5", "class": "tree", "description": "Street tree with trunk emerging from a planting area", "position": "left side foreground next to sidewalk", "orientation": "vertical trunk"}]</t>
  </si>
  <si>
    <t>[{"id": "anom_1", "related_objects": ["obj_1", "obj_2"], "type": "vehicle_obstructing_sidewalk", "description": "A covered two-wheeled vehicle is parked on the main walking area of the sidewalk, partially blocking pedestrian passage and potentially obstructing the tactile/guiding strip.", "risk_score_1_to_10": 4, "risk_target": ["pedestrians"], "region": {"x_center_norm": 0.5, "y_center_norm": 0.45, "width_norm": 0.38, "height_norm": 0.55}, "reasoning": "In most urban environments, motorcycles or scooters should not be parked in a way that blocks the primary walking corridor or tactile guidance path. The vehicle occupies a significant portion of the paved path, forcing pedestrians—including those with mobility or visual impairments—to divert around it, increasing trip and collision risk, especially at night."}]</t>
  </si>
  <si>
    <t>Geolocation and cultural context are uncertain due to image blur and lack of clear signage; assessment assumes a typical urban sidewalk standard where pedestrian right-of-way should remain unobstructed.</t>
  </si>
  <si>
    <t>blurred_downsampled/543.jpg</t>
  </si>
  <si>
    <t>Heavily damaged roadway with major surface rupture and deformation, likely after a natural disaster or severe subsidence.</t>
  </si>
  <si>
    <t>[{"id": "obj_1", "class": "roadway", "description": "Paved road surface with a yellow centerline running roughly vertically through the frame", "position": "center of image, extending from bottom foreground toward upper background", "orientation": "road aligned approximately bottom-to-top of frame"}, {"id": "obj_2", "class": "road_damage", "description": "Large cracks, uplifted and sunken pavement segments disrupting the continuity of the road", "position": "predominantly in the central and lower portions of the road surface", "orientation": "irregular lateral fractures crossing the road"}]</t>
  </si>
  <si>
    <t>[{"id": "anom_1", "related_objects": ["obj_1", "obj_2"], "type": "severely_damaged_roadway", "description": "The road surface is heavily broken with large cracks and vertical displacement, making it impassable or extremely unsafe for vehicles and pedestrians.", "risk_score_1_to_10": 9, "risk_target": ["drivers", "pedestrians", "cyclists"], "region": {"x_center_norm": 0.5, "y_center_norm": 0.6, "width_norm": 0.9, "height_norm": 0.7}, "reasoning": "The visible pavement is not flat or continuous; there are substantial fractures and offsets across the travel path, which can cause vehicles to lose control or be damaged and pose a tripping or falling hazard to pedestrians and cyclists. The damage appears extensive enough that the road should be closed, indicating a high risk to anyone attempting to use it."}]</t>
  </si>
  <si>
    <t>Geographic context is low-confidence due to blurring, but typical road markings suggest a general urban or peri-urban environment. Regardless of region, this degree of structural roadway failure represents a serious hazard.</t>
  </si>
  <si>
    <t>blurred_downsampled/0017.jpg</t>
  </si>
  <si>
    <t>Urban roadway or paved area with a large open hole in the ground and a cyclist passing nearby.</t>
  </si>
  <si>
    <t>[{"id": "obj_1", "class": "open_hole", "description": "Large circular open hole in the pavement, likely a manhole or similar opening without a cover", "position": "foreground center-bottom of the scene on the paved surface", "orientation": "opening facing upward"}, {"id": "obj_2", "class": "cyclist", "description": "Person riding a bicycle on the paved surface behind the hole", "position": "upper-central background, moving across the paved area near the open hole", "orientation": "appears to be moving left-to-right relative to the viewer"}, {"id": "obj_3", "class": "paved_surface", "description": "Flat paved ground, possibly a road or large sidewalk area", "position": "covers most of the image", "orientation": "horizontal"}]</t>
  </si>
  <si>
    <t>[{"id": "anom_1", "related_objects": ["obj_1", "obj_2"], "type": "unprotected_open_hole_in_path", "description": "A large open hole in the paved surface is unprotected and very close to where a cyclist is traveling, creating a fall hazard for cyclists and pedestrians and a potential damage risk for vehicles.", "risk_score_1_to_10": 8, "risk_target": ["cyclists", "pedestrians", "drivers"], "region": {"x_center_norm": 0.5, "y_center_norm": 0.7, "width_norm": 0.55, "height_norm": 0.45}, "reasoning": "The opening appears large enough for a wheel or an entire person to fall into, and it is directly in the travel area of the cyclist without visible barriers, cones, or warning signs. At typical cycling or driving speeds, this would pose a high risk of serious injury."}]</t>
  </si>
  <si>
    <t>Geolocation is uncertain due to image blur and lack of signage; assumed generic urban setting. Risk score is based on the size and openness of the hole and the proximity of an active road user.</t>
  </si>
  <si>
    <t>blurred_downsampled/0104.jpg</t>
  </si>
  <si>
    <t>Heavily crowded narrow urban street with mixed pedestrians, motorcycles, rickshaws, and small vehicles under hanging tarps and dense overhead wiring.</t>
  </si>
  <si>
    <t>[{"id": "obj_1", "class": "motorcycle", "description": "Motorcycle with rider in purple shirt in the lower center foreground, moving along the narrow street amid pedestrians.", "position": "center foreground in main traffic lane", "orientation": "facing toward the camera"}, {"id": "obj_2", "class": "motorcycle", "description": "Motorcycle with rider in blue shirt and face mask at left foreground.", "position": "left foreground in main lane edge", "orientation": "facing toward the camera"}, {"id": "obj_3", "class": "pedestrians", "description": "Dense crowd of people walking and standing along and within the roadway throughout the middle and background.", "position": "across entire width of street, middle and background", "orientation": "varied, many facing camera or sideways"}, {"id": "obj_4", "class": "auto_rickshaw", "description": "Three-wheeler vehicle on the left side of the street amid the crowd.", "position": "left midground in traffic stream", "orientation": "facing toward the camera"}, {"id": "obj_5", "class": "car_or_small_vehicle", "description": "Light-colored small vehicle in the mid-background among people and rickshaws.", "position": "center mid-background", "orientation": "facing toward the camera"}, {"id": "obj_6", "class": "street_market_stalls", "description": "Shops and stalls with hanging clothes and goods lining both sides of the narrow street.", "position": "left and right edges from foreground to background", "orientation": "aligned along street"}, {"id": "obj_7", "class": "overhead_tarps", "description": "Large blue and dark tarps strung over the street providing shade.", "position": "upper half of image spanning from left to right", "orientation": "horizontal canopy above street"}, {"id": "obj_8", "class": "overhead_wires", "description": "Numerous electrical or communication cables strung along buildings and across the street.", "position": "upper left and central upper areas near building facades", "orientation": "running longitudinally along the street and crosswise"}]</t>
  </si>
  <si>
    <t>[{"id": "anom_1", "related_objects": ["obj_1", "obj_2", "obj_3", "obj_4", "obj_5"], "type": "mixed_traffic_with_pedestrians_in_very_narrow_space", "description": "Motorcycles, auto-rickshaws, and at least one small vehicle are moving through a very crowded narrow street where pedestrians occupy much of the roadway with no clear separation or sidewalks.", "risk_score_1_to_10": 7, "risk_target": ["pedestrians", "drivers"], "region": {"x_center_norm": 0.5, "y_center_norm": 0.7, "width_norm": 0.9, "height_norm": 0.6}, "reasoning": "The street space is heavily shared by vehicles and a dense crowd of pedestrians, increasing chances of collisions or run-overs, especially where motorcycles are weaving through people and space is constrained."}, {"id": "anom_2", "related_objects": ["obj_8"], "type": "dense_overhead_wiring", "description": "Large bundles of overhead cables running close to buildings and tarps may be poorly managed, posing electrical and fire hazards.", "risk_score_1_to_10": 5, "risk_target": ["general_civilians"], "region": {"x_center_norm": 0.25, "y_center_norm": 0.25, "width_norm": 0.5, "height_norm": 0.4}, "reasoning": "Numerous low-hanging, cluttered wires in an older-built environment can increase risk of short circuits or cable failure, particularly near flammable market materials and fabric canopies."}, {"id": "anom_3", "related_objects": ["obj_7", "obj_8"], "type": "low_hanging_tarps_and_obstructed_visibility", "description": "Large tarps hang relatively low over the street, potentially obstructing upward visibility and interacting with overhead cables and structures.", "risk_score_1_to_10": 4, "risk_target": ["drivers", "pedestrians"], "region": {"x_center_norm": 0.5, "y_center_norm": 0.25, "width_norm": 1.0, "height_norm": 0.5}, "reasoning": "While common in markets, the low tarps reduce vertical clearance and may hide signage or hazards; if they loosen in wind or fail, they could fall into the traffic stream or entangle with wiring."}]</t>
  </si>
  <si>
    <t>Step 1 – The architecture, auto-rickshaws, clothing, and dense market environment suggest a South Asian old-city market street, likely India; confidence medium. Mixed pedestrian/vehicle use of narrow streets is culturally normal but still poses significant collision risk, especially at this density. Scene types: roadway/traffic, pedestrian zone, public market in dense urban setting.</t>
  </si>
  <si>
    <t>blurred_downsampled/535.jpg</t>
  </si>
  <si>
    <t>Blurry view of a paved road surface with visible potholes or surface damage and some pooled water, likely in an outdoor roadside environment.</t>
  </si>
  <si>
    <t>[{"id": "obj_1", "class": "roadway", "description": "Paved road surface occupying most of the frame", "position": "extends from foreground bottom toward background, slightly angled from lower right to upper left", "orientation": "road perspective receding into distance"}, {"id": "obj_2", "class": "potholes", "description": "Irregular depressions in the road surface with some water collected", "position": "foreground-right portion of the road surface", "orientation": "aligned along the length of the road"}, {"id": "obj_3", "class": "vegetation", "description": "Green vegetation or trees bordering the road in the background", "position": "top portion of the image, beyond the road edge", "orientation": "forms a band along the upper edge of the frame"}]</t>
  </si>
  <si>
    <t>[{"id": "anom_1", "related_objects": ["obj_1", "obj_2"], "type": "road_surface_damage", "description": "Potholes and pooled water on the road surface that could destabilize vehicles, especially two-wheelers, and cause loss of control or damage.", "risk_score_1_to_10": 5, "risk_target": ["drivers", "cyclists"], "region": {"x_center_norm": 0.55, "y_center_norm": 0.65, "width_norm": 0.5, "height_norm": 0.6}, "reasoning": "The visible depressions and standing water on the paved surface indicate potholes or erosion. Such defects create a moderate risk of skidding, tire damage, or falls, particularly for bicycles and motorcycles. While common on many roads, they remain a notable safety hazard if encountered at speed or in poor visibility."}]</t>
  </si>
  <si>
    <t>Geolocation and cultural context are low-confidence due to heavy blur; the assessment assumes a typical paved road in a temperate region. No vehicles or pedestrians are visible, so risk is potential rather than immediate.</t>
  </si>
  <si>
    <t>blurred_downsampled/clm_s_01_2011-11-14-13-00.png</t>
  </si>
  <si>
    <t>Blurry coastal urban scene with buildings, palm trees, sandy beach, and rough ocean waves; no clearly visible people or vehicles.</t>
  </si>
  <si>
    <t>[{"id": "obj_1", "class": "coastline", "description": "Sandy beach stretching along the right side of the image between buildings and the ocean", "position": "central to right portion of scene, bordering water and urban area", "orientation": "roughly horizontal shoreline from lower right toward upper left"}, {"id": "obj_2", "class": "ocean", "description": "Body of water with visible breaking waves and whitecaps suggesting rough surf", "position": "right and upper-right side of the scene adjacent to the beach", "orientation": "waves approaching beach from right side"}, {"id": "obj_3", "class": "buildings", "description": "Multiple low- to mid-rise structures near the shoreline, partially obscured by blur and vegetation", "position": "left and lower-left portions of the scene close to the beach", "orientation": "aligned parallel to coastline"}, {"id": "obj_4", "class": "vegetation", "description": "Palm trees and other greenery between buildings and beach", "position": "lower and central parts of the scene", "orientation": "vertical trunks rising from ground"}]</t>
  </si>
  <si>
    <t>Step 1 – Geolocation &amp; Context: This appears to be a warm-climate coastal urban area with palm trees and sandy beach, possibly Mediterranean, subtropical, or similar; confidence is low due to heavy blur and lack of readable signage or clear architecture. No specific country inference is reliable. Given the image blur, people, vehicles, or detailed hazards cannot be discerned. Step 2 – Scene Type: Coastal/aquatic environment and natural-urban interface with nearby residential or mixed-use buildings. Step 3 – The sea seems moderately rough but without identifiable swimmers, boats, or beach users; hence no concrete anomaly can be asserted. With no clearly visible exposed individuals or abnormal infrastructure conditions, no explicit safety anomaly is detected from the frame alone.</t>
  </si>
  <si>
    <t>blurred_downsampled/0078.jpg</t>
  </si>
  <si>
    <t>Very blurry dashcam-style image showing a dark car crossing in front of the camera vehicle at an urban intersection.</t>
  </si>
  <si>
    <t>[{"id": "obj_1", "class": "car", "description": "Dark-colored car crossing laterally in front of the camera vehicle near the center of the intersection", "position": "center of frame, spanning from left-center to right-center on the roadway", "orientation": "moving roughly left-to-right across the camera’s direction of travel"}, {"id": "obj_2", "class": "road", "description": "Urban intersection with paved roadway", "position": "occupies lower and central part of the scene", "orientation": "camera vehicle aligned approximately forward on one leg of the intersection"}, {"id": "obj_3", "class": "buildings/streetside structures", "description": "Low-rise urban buildings or structures along both sides of the intersection", "position": "left and right edges of the frame", "orientation": "parallel to roadway"}]</t>
  </si>
  <si>
    <t>[{"id": "anom_1", "related_objects": ["obj_1"], "type": "potential collision / right-of-way conflict", "description": "The dark car is crossing directly in front of the camera vehicle at close range within the intersection, suggesting a possible failure to yield or late crossing that could cause a collision.", "risk_score_1_to_10": 7, "risk_target": ["drivers"], "region": {"x_center_norm": 0.5, "y_center_norm": 0.6, "width_norm": 0.5, "height_norm": 0.4}, "reasoning": "From the dashcam perspective, the crossing car is very close and perpendicular to the apparent travel direction of the camera vehicle, occupying much of the forward path. This geometry is typical of near-miss or impact situations at intersections and poses a high risk of collision, even though exact signals or lanes are not discernible due to blur."}]</t>
  </si>
  <si>
    <t>Geolocation and cultural context are highly uncertain due to heavy blur; it appears to be an urban roadway in a temperate region. Risk assessment is based primarily on relative vehicle positions and apparent motion, not on traffic control details which are not visible.</t>
  </si>
  <si>
    <t>blurred_downsampled/584.jpg</t>
  </si>
  <si>
    <t>Highly blurred view of a paved path or lane with a white bicycle symbol painted on the surface, suggesting a designated bike lane or cycling path.</t>
  </si>
  <si>
    <t>[{"id": "obj_1", "class": "bike_lane_marking", "description": "White bicycle symbol painted on the pavement, indicating a cycling lane or path", "position": "center foreground on paved surface", "orientation": "aligned with the direction of the path extending away from the viewer"}, {"id": "obj_2", "class": "paved_path_or_road", "description": "Long paved surface extending into the background, likely a bike path or lane on a road", "position": "occupies most of the frame from bottom to top center", "orientation": "extends from bottom center toward upper center of the image"}, {"id": "obj_3", "class": "barrier_or_edge", "description": "Lighter-toned linear feature along the right side, possibly a curb, barrier, or path edge", "position": "right side of the frame running roughly parallel to the path", "orientation": "longitudinal along the path direction"}]</t>
  </si>
  <si>
    <t>Step 1 – Geolocation &amp; Context: The scene appears to be a generic paved cycle lane or bike path with a standard white bicycle symbol. No language, signage, vehicles, or distinctive architecture are visible due to heavy blur. This could be in many regions where such markings are standard (e.g., Europe, North America, other urbanized areas). Confidence in specific geographic location is low; assumptions are that it is an urban or suburban environment with bicycle infrastructure. Step 2 – Scene Type: Roadway/traffic environment and sidewalk/pedestrian/bicycle zone are applicable, and likely part of a mixed urban context. Step 3 – Description: The visible elements are limited by blur, but the main feature is the bicycle symbol on the pavement indicating intended use for cyclists. Step 4 – Object Identification: No humans, vehicles, or clear hazards are visible; only infrastructure elements (paved surface, lane marking, possible curb/edge). Step 5 – Anomaly Detection: No clear anomalies or abnormal behaviors can be discerned from this frame; there are no visible obstructions, wrong-way traffic, or vulnerable users in danger. The strong blur limits fine-grained inspection, but nothing evidently unsafe stands out. Step 6 – Risk Assessment: With no identifiable anomaly, the immediate risk is considered negligible. Step 7 – Spatial Localization: No anomalies to localize. Step 8 – Reasoning: Given the constraints of the blurred image, and observing only standard cycling infrastructure without visible misuse or hazard, the situation appears normal for a bike lane/path. Step 9 – Overall Safety Impact: The scene appears generally safe; no active or latent specific hazard can be reliably identified from this single blurred frame.</t>
  </si>
  <si>
    <t>blurred_downsampled/0093.png</t>
  </si>
  <si>
    <t>Highly blurred view of a paved walkway or sidewalk bordered by curbs; no clearly identifiable hazards or actors visible.</t>
  </si>
  <si>
    <t>[{"id": "obj_1", "class": "sidewalk", "description": "Central paved walkway extending from bottom foreground to upper background of the frame", "position": "dominant central area of the scene", "orientation": "aligned roughly vertically in the image"}, {"id": "obj_2", "class": "curb", "description": "Raised border along the right edge of the walkway with adjacent vegetation", "position": "right side of the scene", "orientation": "runs roughly parallel to the walkway"}, {"id": "obj_3", "class": "curb", "description": "Raised border along the left edge of the walkway, possible parked area or edge of road beyond", "position": "left side of the scene", "orientation": "runs roughly parallel to the walkway"}]</t>
  </si>
  <si>
    <t>Image is very blurred, making fine details, small objects, or specific regional indicators impossible to discern. Based on visible paving and curbs, this appears to be a standard pedestrian sidewalk with no clearly observable anomalies or immediate hazards. Assessment confidence is low due to image quality.</t>
  </si>
  <si>
    <t>blurred_downsampled/0065.jpg</t>
  </si>
  <si>
    <t>Large wild animal (likely a bison) standing on a paved road in a natural, forested area.</t>
  </si>
  <si>
    <t>[{"id": "obj_1", "class": "large_animal", "description": "Single large, dark-bodied animal with bulky front shoulders standing on the roadway near the center of the image", "position": "center of the road, occupying much of the lane area", "orientation": "roughly side-on to the viewer, body angled slightly toward the right"}, {"id": "obj_2", "class": "roadway", "description": "Paved road surface extending horizontally across the lower part of the image", "position": "bottom half of the image", "orientation": "horizontal across scene"}, {"id": "obj_3", "class": "vegetation_trees", "description": "Dense green trees and shrubs along the road shoulder and into the background", "position": "background, mainly upper and mid-right", "orientation": "upright, forming a tree line parallel to the road"}]</t>
  </si>
  <si>
    <t>[{"id": "anom_1", "related_objects": ["obj_1", "obj_2"], "type": "large_animal_on_roadway", "description": "A large wild animal is standing directly on the paved road, blocking or sharing space with vehicle traffic.", "risk_score_1_to_10": 7, "risk_target": ["drivers", "vehicle_occupants", "pedestrians"], "region": {"x_center_norm": 0.5, "y_center_norm": 0.55, "width_norm": 0.5, "height_norm": 0.6}, "reasoning": "The animal is positioned squarely on the travel lane, which creates a strong collision hazard for any vehicles that may approach, especially at speed or around curves. Given the animal’s size and mass, any impact could be severe for both the animal and occupants. Even if drivers see it in time, sudden braking or swerving could cause secondary crashes."}]</t>
  </si>
  <si>
    <t>Step 1 – Geolocation &amp; Context: The scene resembles a North American national park or rural forest highway, likely in the western US or Canada, inferred from the apparent bison-like animal, coniferous trees, dry roadside soil, and clear weather. Confidence is medium because of the image blur. Step 2 – Scene Type: Roadway / traffic environment within a natural-urban interface (road cutting through natural land). Step 3 – Description and subsequent steps are based solely on visible layout; no vehicles or people are visible but are reasonably expected on such a road.</t>
  </si>
  <si>
    <t>blurred_downsampled/61.jpg</t>
  </si>
  <si>
    <t>Straight paved rural road with a large discolored or damaged patch in the middle of the lane.</t>
  </si>
  <si>
    <t>[{"id": "obj_1", "class": "roadway", "description": "Single paved road extending into the distance through an open rural area", "position": "occupies most of the central vertical axis of the image", "orientation": "aligned roughly from bottom center toward top center"}, {"id": "obj_2", "class": "road_surface_defect", "description": "Large lighter-colored patch or possible damaged area on the road surface", "position": "center of the lane in the foreground", "orientation": "irregular shape, roughly centered laterally"}, {"id": "obj_3", "class": "roadside_terrain", "description": "Dry, open land on both sides of the road", "position": "left and right sides of the image flanking the pavement", "orientation": "parallel to roadway"}]</t>
  </si>
  <si>
    <t>[{"id": "anom_1", "related_objects": ["obj_2"], "type": "road_surface_damage_or_irregular_patch", "description": "A prominent, irregular light-colored area on the road surface suggests a pothole, degraded asphalt, or rough patch that could disturb vehicle stability.", "risk_score_1_to_10": 4, "risk_target": ["drivers", "motorcyclists", "cyclists"], "region": {"x_center_norm": 0.5, "y_center_norm": 0.6, "width_norm": 0.45, "height_norm": 0.35}, "reasoning": "The large contrast and irregular shape in the middle of the lane indicate a non-uniform surface such as a patch or damage. On a straight rural road where speeds may be higher and lighting can cause glare, such a defect can pose a mild to moderate risk, particularly for two-wheeled vehicles. The blur makes the exact condition uncertain, so the risk is rated conservatively as mild."}]</t>
  </si>
  <si>
    <t>Location context is low-confidence; the dry, open surroundings and straight paved road suggest a rural or semi-arid region. Image blur limits precise assessment, but no vehicles or pedestrians are visible, so risk is mainly from infrastructure condition rather than immediate conflicts.</t>
  </si>
  <si>
    <t>blurred_downsampled/0110.jpg</t>
  </si>
  <si>
    <t>Residential-side street viewed from inside a car, with parked cars along the right side and apartment buildings on the left.</t>
  </si>
  <si>
    <t>[{"id": "obj_1", "class": "car", "description": "Viewer’s vehicle interior at bottom edge, indicating the camera is from a driver’s perspective on the road.", "position": "foreground bottom center", "orientation": "facing forward along the street"}, {"id": "obj_2", "class": "car", "description": "Red car parked on the right side of the narrow street close to the camera.", "position": "right side of roadway, mid-foreground", "orientation": "aligned with street, facing away from camera"}, {"id": "obj_3", "class": "car", "description": "Another car parked in line ahead of the red car on the right side of the street.", "position": "right side of roadway, mid-background", "orientation": "aligned with street, facing away from camera"}, {"id": "obj_4", "class": "building", "description": "Multi-story residential apartment building with balconies on the left side.", "position": "left side of scene", "orientation": "façade roughly facing the street"}, {"id": "obj_5", "class": "building", "description": "Smaller structure with windows and a blue chair outside, near the street edge.", "position": "near left foreground", "orientation": "facing toward the street"}, {"id": "obj_6", "class": "streetlight", "description": "Tall pole with lamp along the right side of the street.", "position": "right side mid-background", "orientation": "vertical"}, {"id": "obj_7", "class": "vegetation", "description": "Dense green bushes and grass along the right roadside and near the buildings.", "position": "both sides of road, especially right edge", "orientation": "n/a"}, {"id": "obj_8", "class": "road", "description": "Narrow paved residential street extending ahead from the driver’s position.", "position": "center of image extending from bottom to center", "orientation": "away from viewer"}]</t>
  </si>
  <si>
    <t>Step 1 – Geolocation &amp; context: Likely a European-style suburban or small-town residential area based on apartment architecture, parked compact cars, and roadside vegetation; confidence: low-to-medium due to strong blur obscuring details. Step 2 – Scene type: roadway/traffic environment within a residential urban area. Step 3 – The image is heavily blurred, limiting detection of fine-grained hazards such as pedestrians or small obstacles. With visible information, no abnormal behaviors, infrastructure damage, or environmental hazards are apparent, so no specific anomalies can be reliably identified.</t>
  </si>
  <si>
    <t>blurred_downsampled/0100.png</t>
  </si>
  <si>
    <t>Blurry urban street scene with a parked car near a curb, a signpost, and adjacent residential-style buildings.</t>
  </si>
  <si>
    <t>[{"id": "obj_1", "class": "car", "description": "Single dark-colored car parked along the curb on the right-middle side of the image", "position": "right-middle edge of roadway adjacent to sidewalk or curb", "orientation": "approximately parallel to curb, side view"}, {"id": "obj_2", "class": "signpost", "description": "Tall pole with traffic or street sign near the center of the image by the curb", "position": "near center of frame, between roadway and sidewalk", "orientation": "vertical"}, {"id": "obj_3", "class": "building", "description": "Multi-story residential-style building in the background", "position": "upper part of frame, spanning center to right side", "orientation": "façade facing street"}, {"id": "obj_4", "class": "vegetation", "description": "Bushes or hedges along the edge between sidewalk and building", "position": "mid to upper-left and upper-center behind curb area", "orientation": "line parallel to street"}, {"id": "obj_5", "class": "roadway", "description": "Paved street surface with a junction or crossing markings on the left", "position": "foreground and left-middle of image", "orientation": "extends from bottom toward upper left and center"}]</t>
  </si>
  <si>
    <t>Step 1 – Geolocation &amp; Context: The architecture, curb layout, and street design suggest a European urban or suburban residential area, but the image is very blurred, so this is low-confidence. Step 2 – Scene Type: Roadway/traffic environment adjacent to residential buildings. Step 3 – Description: A single parked car along a curb, a signpost, and residential building with vegetation behind; no visible pedestrians or moving vehicles. Step 4 – Objects: Identified as above. Step 5 – Anomaly Detection: Due to the heavy blur, fine details such as exact parking legality, signage content, or pavement condition cannot be reliably inspected. Within what can be discerned, the car appears normally parked along the curb, infrastructure seems intact, and there are no visible obstructions, vulnerable persons, or acute hazards. Therefore, no clear anomaly or abnormal risk can be asserted. Step 6 – Risk Assessment: With no specific anomaly detected, the default risk is considered negligible. Step 7 – Spatial Localization: Not needed, as no anomalies were identified. Step 8 – Reasoning: The evaluation is conservative because visual uncertainty is high; however, nothing stands out as clearly unsafe or abnormal for a residential street scene. Step 9 – Overall Safety Impact: The environment appears generally safe with no immediate safety concerns observable in this frame.</t>
  </si>
  <si>
    <t>blurred_downsampled/0023.jpg</t>
  </si>
  <si>
    <t>Blurred view of a damaged roadway surface with a large pothole or eroded section near the curb.</t>
  </si>
  <si>
    <t>[{"id": "obj_1", "class": "roadway", "description": "Paved road surface occupying most of the image", "position": "extends across mid and upper parts of scene", "orientation": "aligned roughly horizontally"}, {"id": "obj_2", "class": "curb", "description": "Raised edge separating roadway from adjacent pavement", "position": "lower left side of image running diagonally", "orientation": "diagonal from bottom left toward center"}, {"id": "obj_3", "class": "pothole", "description": "Large, irregular area of missing or broken pavement exposing underlying material", "position": "near curb, slightly right of center", "orientation": "elongated along curb line"}]</t>
  </si>
  <si>
    <t>[{"id": "anom_1", "related_objects": ["obj_3", "obj_1", "obj_2"], "type": "road_surface_damage", "description": "Substantial road surface failure forming a large pothole or cavity adjacent to the curb, creating a hazard for vehicles and possibly pedestrians stepping near the edge.", "risk_score_1_to_10": 6, "risk_target": ["drivers", "cyclists", "pedestrians"], "region": {"x_center_norm": 0.55, "y_center_norm": 0.55, "width_norm": 0.6, "height_norm": 0.4}, "reasoning": "The visible section of roadway shows a clearly eroded or collapsed area with exposed substrate next to the curb. This could destabilize vehicle tires, especially bicycles or motorcycles, and may cause trips for pedestrians stepping off or onto the curb. The absence of visible barriers or warnings in the frame increases the potential for incidents, though traffic or pedestrians are not visible at this moment, so risk is assessed as moderate rather than extreme."}]</t>
  </si>
  <si>
    <t>Geolocation and cultural context are low-confidence due to image blur and lack of signage; assessment assumes a typical urban or suburban paved street. The main safety concern is infrastructure degradation rather than active traffic conflicts in this single frame.</t>
  </si>
  <si>
    <t>blurred_downsampled/0054.png</t>
  </si>
  <si>
    <t>Narrow urban or residential lane with a car on the left and dense vegetation on the right, viewed along the path or roadway.</t>
  </si>
  <si>
    <t>[{"id": "obj_1", "class": "car", "description": "Light-colored car along the left side of a narrow lane or roadside, mostly parallel to the path", "position": "left side of the scene, occupying much of the left edge adjacent to the path", "orientation": "parked or moving roughly away from the camera along the lane"}, {"id": "obj_2", "class": "vegetation", "description": "Dense green bushes or plants forming a hedge or boundary along the right side of the lane", "position": "right edge of the scene bordering the path", "orientation": "vertical boundary along path"}, {"id": "obj_3", "class": "roadway", "description": "Narrow paved lane or path running from foreground bottom toward the center background", "position": "center of the scene between the car and the vegetation", "orientation": "extending from bottom center toward upper center"}]</t>
  </si>
  <si>
    <t>Step 1 – Geolocation &amp; Context: Image is highly blurred, but vegetation and narrow lane with a car suggest a warm-climate urban or residential area; geolocation confidence is low. No clear signage, markings, or pedestrians can be discerned. Step 2 – Scene Type: Roadway/traffic and residential/mixed urban interface. Step 3 – Description: A narrow paved lane bounded by a car on the left and dense greenery on the right; background buildings or structures are indistinct due to blur. Step 4 – Objects: Car, vegetation, and roadway are the only reliably identifiable elements. Step 5 – Anomaly Detection: Due to blur, no specific abnormal behaviors, obstructions, or safety hazards can be confidently identified; car could be parked close to edge, but this is common in narrow residential lanes and cannot be judged clearly. Step 6 – Risk Assessment: Without clear anomalies, no specific exposed group or elevated risk is assigned. Step 7 – Spatial Localization: Image quality prevents precise bounding boxes for potential minor issues; thus no anomalies are listed. Step 8 – Reasoning: Conservative approach taken because the visual evidence is insufficient to confirm any unusual or dangerous condition beyond a typical narrow residential lane. Overall the scene appears generally safe based on available information.</t>
  </si>
  <si>
    <t>blurred_downsampled/0048.jpg</t>
  </si>
  <si>
    <t>Highly blurred view of a paved roadway with yellow lane markings and a circular storm drain cover in a square frame.</t>
  </si>
  <si>
    <t>[{"id": "obj_1", "class": "road_surface", "description": "Paved road covering most of the image", "position": "entire scene", "orientation": "horizontal plane"}, {"id": "obj_2", "class": "lane_marking", "description": "Yellow road line running roughly vertically near the left side", "position": "left side of scene", "orientation": "vertical relative to image frame"}, {"id": "obj_3", "class": "drain_cover", "description": "Circular storm drain or manhole cover set in a square frame", "position": "lower-left quadrant of the road surface", "orientation": "flush with road surface"}, {"id": "obj_4", "class": "road_marking", "description": "White painted road symbol or text, heavily blurred", "position": "upper-central part of the scene", "orientation": "aligned with road direction"}]</t>
  </si>
  <si>
    <t>Step 1 – Geolocation &amp; Context: The scene shows a paved street with yellow lane markings and a storm drain. Due to the extreme blur, signage or language cannot be reliably read. This could be in many urban contexts worldwide that use yellow lines; confidence is low. No clear cultural or regional indicators are visible. Step 2 – Scene Type: Roadway/traffic environment in a general urban setting. Step 3 – Scene Description: A simple road segment is visible with a drain cover and standard lane markings; no vehicles, pedestrians, or obvious hazards can be clearly identified. Step 4 – Objects: Only basic infrastructure elements (road, markings, drain) are identifiable given the blur. Step 5 – Anomalies: No discernible anomalies—no visible vehicles, pedestrians, or abnormal conditions such as flooding, damage, or obstructions can be confirmed. The blur limits detailed inspection, but nothing obviously hazardous stands out. Step 6 – Risk Assessment: Since no concrete anomaly is detected, no specific risk can be scored, hence overall risk is set to 0. Step 7 – Spatial Localization: No anomalies, so no regions provided. Step 8 – Reasoning: The image quality is the primary limitation; however, what is visible matches a normal, intact road segment with drainage infrastructure and lane lines, without clear evidence of misuse, damage, or conflict. Step 9 – Overall Safety Impact: Scene appears generally safe as observed; any risks that do exist are not discernible from this frame.</t>
  </si>
  <si>
    <t>blurred_downsampled/021.png</t>
  </si>
  <si>
    <t>Blurred view of a paved pedestrian surface with a puddle of water in the middle area.</t>
  </si>
  <si>
    <t>[{"id": "obj_1", "class": "paved_surface", "description": "Brick or tile-like paved ground surface extending across the frame", "position": "covers most of the image, likely a walkway or sidewalk", "orientation": "slightly angled from lower right to upper left"}, {"id": "obj_2", "class": "puddle", "description": "Reflective water puddle on the paved surface near the upper center of the frame", "position": "upper central area of the walkway", "orientation": "horizontal oval shape"}]</t>
  </si>
  <si>
    <t>[{"id": "anom_1", "related_objects": ["obj_2"], "type": "slip_trip_hazard", "description": "Water puddle on a pedestrian surface may create a slip hazard and obscure surface irregularities.", "risk_score_1_to_10": 4, "risk_target": ["pedestrians"], "region": {"x_center_norm": 0.55, "y_center_norm": 0.3, "width_norm": 0.35, "height_norm": 0.25}, "reasoning": "The scene appears to be a walkway or sidewalk, and the presence of a noticeable puddle in the walking path can cause slipping, especially if pedestrians do not see it in time or if the surface is smooth. Risk is moderate because pedestrians can usually step around it, but it remains a localized hazard."}]</t>
  </si>
  <si>
    <t>Image is quite blurred, so no other specific hazards or objects (e.g., pedestrians, vehicles) can be reliably identified.</t>
  </si>
  <si>
    <t>blurred_downsampled/525.jpg</t>
  </si>
  <si>
    <t>Close-up of a cracked and potholed asphalt road surface next to a grassy roadside.</t>
  </si>
  <si>
    <t>[{"id": "obj_1", "class": "roadway", "description": "Asphalt road surface occupying most of the image with extensive cracking and a large damaged area near the center-right", "position": "center and right side of the frame, extending from bottom to top", "orientation": "road aligned roughly from bottom to top of image"}, {"id": "obj_2", "class": "pothole", "description": "Large irregular depression or heavily broken asphalt area along the right-central portion of the lane", "position": "center-right of the frame, starting near mid-height and extending upward", "orientation": "elongated along the road direction"}, {"id": "obj_3", "class": "vegetation", "description": "Grassy shoulder along the left edge of the road", "position": "left side of the frame, from bottom to upper-left", "orientation": "parallel to road edge"}]</t>
  </si>
  <si>
    <t>[{"id": "anom_1", "related_objects": ["obj_1", "obj_2"], "type": "severely_damaged_road_surface", "description": "Extensive cracking and a sizable pothole or collapsed section in the travel lane, indicating poor pavement condition that can disrupt vehicle stability.", "risk_score_1_to_10": 6, "risk_target": ["drivers", "motorcyclists", "cyclists"], "region": {"x_center_norm": 0.6, "y_center_norm": 0.45, "width_norm": 0.6, "height_norm": 0.7}, "reasoning": "The visible asphalt is heavily alligatored with a pronounced broken/depressed area where tires would normally pass. Such damage can cause loss of control, wheel or suspension damage, and is especially hazardous to two-wheeled vehicles, particularly at normal rural road speeds."}]</t>
  </si>
  <si>
    <t>Image is somewhat blurred, but the road distress and likely pothole are clearly distinguishable. No vehicles or pedestrians are visible, so risk is assessed based on typical road use.</t>
  </si>
  <si>
    <t>blurred_downsampled/normal_012.png</t>
  </si>
  <si>
    <t>Highly blurred view of a paved sidewalk or pedestrian path with curbs or borders on each side; no clearly identifiable vehicles or people.</t>
  </si>
  <si>
    <t>[{"id": "obj_1", "class": "sidewalk", "description": "Central paved pedestrian path extending from bottom foreground to upper background", "position": "center of scene", "orientation": "aligned roughly vertically in the image"}, {"id": "obj_2", "class": "curb_or_border", "description": "Light-colored raised borders or curbs along both sides of the path", "position": "left and right edges of the path", "orientation": "running parallel to the sidewalk"}, {"id": "obj_3", "class": "vegetation", "description": "Green areas likely representing grass or low plants beyond the right border", "position": "right side background", "orientation": "static ground vegetation"}]</t>
  </si>
  <si>
    <t>Step 1 – Geolocation &amp; Context: Due to extreme blur, geographic inference is very uncertain. The paved path and bordering areas resemble a typical urban or suburban sidewalk in many regions; confidence is low and no specific country or region can be identified. Step 2 – Scene Type: Best classified as a sidewalk/pedestrian zone within a residential or mixed urban setting. Step 3–8 – With no discernible people, vehicles, or specific hazards visible, and given the heavy blur, no clear anomalies or abnormal risks can be reliably identified. Assessment is conservative, assuming a standard, unobstructed pedestrian path.</t>
  </si>
  <si>
    <t>blurred_downsampled/0101.png</t>
  </si>
  <si>
    <t>Highly blurred urban sidewalk area with parked cars along the edge of a pedestrian path in front of residential-style buildings.</t>
  </si>
  <si>
    <t>[{"id": "obj_1", "class": "car", "description": "Parked car on the left side near the edge of the pedestrian path", "position": "left-middle edge of scene, adjacent to sidewalk or pedestrian area", "orientation": "aligned roughly parallel to the sidewalk/building"}, {"id": "obj_2", "class": "car", "description": "Another parked car toward the center-right of the image", "position": "center-right portion of the scene, adjacent to pedestrian path or curb", "orientation": "aligned roughly parallel to the sidewalk/building"}, {"id": "obj_3", "class": "pole_or_sign", "description": "Vertical pole, likely a traffic or parking sign, near the left side of the image", "position": "left side of the scene, between sidewalk and parked car", "orientation": "vertical"}, {"id": "obj_4", "class": "building", "description": "Multi-storey residential or mixed-use building in the background", "position": "background, spanning most of upper part of scene", "orientation": "facade facing the camera"}, {"id": "obj_5", "class": "sidewalk_or_pedestrian_path", "description": "Paved pedestrian area in the foreground, possibly with a differently colored strip along car side", "position": "foreground, extending from bottom toward mid-frame", "orientation": "horizontal plane"}, {"id": "obj_6", "class": "vegetation", "description": "Bush or tree near center behind the parked cars", "position": "center background behind vehicles", "orientation": "upright vegetation"}]</t>
  </si>
  <si>
    <t>Step 1 – Geolocation &amp; Context: The architecture, sidewalk, and parked cars suggest a typical urban European or Mediterranean residential area, but due to the strong blur this is low-confidence. No clear signage or markings can be read, and no humans or obviously unsafe behaviors are visible. Step 5 – Anomalies: Because of the low resolution/blur, it is not possible to reliably identify any abnormal parking position, encroachment onto the pedestrian path, or other specific hazards, so no anomaly is recorded.</t>
  </si>
  <si>
    <t>blurred_downsampled/000.png</t>
  </si>
  <si>
    <t>Nighttime urban or suburban roadside with a sidewalk, small vegetation strip, and a parked or slow-moving car on an adjacent street; image is heavily blurred.</t>
  </si>
  <si>
    <t>[{"id": "obj_1", "class": "sidewalk", "description": "Paved pedestrian sidewalk occupying the lower and right side of the image, running parallel to the road", "position": "foreground and right side of scene", "orientation": "extends roughly from bottom-right toward upper-right"}, {"id": "obj_2", "class": "vegetation", "description": "Low bushes or plants in a narrow strip between the sidewalk and the street", "position": "mid-foreground, slightly left of center", "orientation": "linear strip parallel to the road edge"}, {"id": "obj_3", "class": "car", "description": "Single vehicle on the roadway, possibly parked or moving slowly", "position": "upper-center of image on street adjacent to sidewalk", "orientation": "aligned with road direction"}, {"id": "obj_4", "class": "roadway", "description": "Paved street running horizontally behind the vegetation strip", "position": "mid to upper part of image, spanning left to right", "orientation": "approximately horizontal across frame"}, {"id": "obj_5", "class": "building", "description": "Urban buildings along the far side of the street", "position": "upper background across the image", "orientation": "fronts facing road"}]</t>
  </si>
  <si>
    <t>Image is strongly blurred, limiting the ability to detect fine-grained hazards such as small obstacles, damaged pavement, or pedestrians. Based on what is visible, the scene appears typical for an urban roadside at night, with no clearly identifiable anomalies or abnormal risks.</t>
  </si>
  <si>
    <t>blurred_downsampled/28.jpg</t>
  </si>
  <si>
    <t>Rural or suburban road with a large pothole filled with water and an approaching car in wet conditions.</t>
  </si>
  <si>
    <t>[{"id": "obj_1", "class": "car", "description": "Single vehicle approaching on the roadway, slightly to the right side of the frame", "position": "upper-right portion of the road, moving toward the camera", "orientation": "front of car facing toward the viewer"}, {"id": "obj_2", "class": "pothole", "description": "Large water-filled pothole or road surface depression in the lane", "position": "lower-left to center area of the lane on the road surface", "orientation": "flat on road surface"}, {"id": "obj_3", "class": "roadway", "description": "Narrow paved road with worn or damaged surface, bordered by grass or soil shoulders", "position": "extends from foreground bottom toward background center", "orientation": "aligned roughly bottom-center to top-center"}]</t>
  </si>
  <si>
    <t>[{"id": "anom_1", "related_objects": ["obj_1", "obj_2", "obj_3"], "type": "large_pothole_in_traffic_path", "description": "A large pothole or water-filled depression is present directly in the vehicle's travel path on a narrow road, creating a risk of loss of control or vehicle damage, especially in wet conditions.", "risk_score_1_to_10": 7, "risk_target": ["drivers", "vehicle_occupants", "pedestrians", "cyclists"], "region": {"x_center_norm": 0.38, "y_center_norm": 0.63, "width_norm": 0.35, "height_norm": 0.25}, "reasoning": "The depression appears sizable relative to the lane and is filled with water, masking its depth. On a narrow road, drivers may have limited room to avoid it, risking tire or suspension damage, swerving into the opposite side or shoulder, and potential loss of control that could endanger occupants and any nearby pedestrians or cyclists. Wet conditions further reduce friction and visibility of the hazard."}]</t>
  </si>
  <si>
    <t>Location context is low-confidence; it resembles a rural or suburban road possibly in a temperate region, inferred from vegetation and road style. Blurriness limits precise measurement but does not change identification of the main hazard.</t>
  </si>
  <si>
    <t>blurred_downsampled/26.jpg</t>
  </si>
  <si>
    <t>Highly blurred image that appears to show a paved roadway with surface irregularities or potholes, possibly in a cold or wet environment.</t>
  </si>
  <si>
    <t>[{"id": "obj_1", "class": "roadway", "description": "Main paved surface extending from foreground to background", "position": "occupies most of the frame, oriented roughly from bottom center toward upper center", "orientation": "aligned along the image's vertical axis, receding into the distance"}, {"id": "obj_2", "class": "road_surface_defect", "description": "Bright, irregular patch or depression on the roadway that could represent a pothole or damaged surface", "position": "foreground, slightly right of center", "orientation": "flat on roadway surface"}, {"id": "obj_3", "class": "road_surface_defect", "description": "Additional elongated irregularity or depression along the center of the lane area, possibly a series of potholes or rutting", "position": "mid-frame, slightly left of center, extending toward the background", "orientation": "aligned along lane direction"}]</t>
  </si>
  <si>
    <t>[{"id": "anom_1", "related_objects": ["obj_1", "obj_2", "obj_3"], "type": "damaged_road_surface", "description": "Possible large pothole(s) or significant surface damage on the roadway that could destabilize vehicles or cause loss of control.", "risk_score_1_to_10": 5, "risk_target": ["drivers", "motorcyclists", "cyclists"], "region": {"x_center_norm": 0.5, "y_center_norm": 0.65, "width_norm": 0.7, "height_norm": 0.5}, "reasoning": "The bright and dark irregular patches on the lane area suggest depressions or potholes rather than normal markings, especially in what appears to be a worn, possibly wet or icy road. Such defects can cause vehicle damage or loss of control, particularly for two-wheeled vehicles. Due to the heavy blur, this interpretation is uncertain, so the risk is rated moderate and not higher."}]</t>
  </si>
  <si>
    <t>Image is extremely blurred, so identification of potholes or defects is uncertain but inferred from tonal patterns typical of damaged pavement. No vehicles or pedestrians are clearly visible.</t>
  </si>
  <si>
    <t>blurred_downsampled/0080.jpg</t>
  </si>
  <si>
    <t>Blurry dashcam-style view of an urban intersection or wide roadway with several cars and no clearly visible pedestrians.</t>
  </si>
  <si>
    <t>[{"id": "obj_1", "class": "car", "description": "Light-colored car on the left side of the frame, angled slightly toward the center of the road", "position": "left foreground, partially ahead of the camera vehicle", "orientation": "facing toward the right or diagonally across the roadway"}, {"id": "obj_2", "class": "car", "description": "Light-colored car on the right side of the frame, facing toward the center/left", "position": "right mid-ground, entering or crossing the main roadway", "orientation": "angled toward the left side of the frame"}, {"id": "obj_3", "class": "car", "description": "Camera/ego vehicle from whose perspective the image is taken", "position": "bottom center, not directly visible except for dashboard edge", "orientation": "aligned approximately straight along the roadway"}, {"id": "obj_4", "class": "building", "description": "Large multi-story building to the left", "position": "left background", "orientation": "frontage parallel to roadway"}, {"id": "obj_5", "class": "building", "description": "Brick or darker building to the right", "position": "right background", "orientation": "frontage parallel to roadway"}]</t>
  </si>
  <si>
    <t>Geolocation/context: medium-confidence guess of a generic urban area in a temperate region based on multi-story buildings and vehicles; no clear signage or lane markings are readable due to heavy blur, so traffic rule violations or specific hazards cannot be reliably detected. Within the limits of the image quality, there is no clearly abnormal behavior or evident imminent conflict between vehicles.</t>
  </si>
  <si>
    <t>blurred_downsampled/pexels-bhaveshjain-2284751.jpg</t>
  </si>
  <si>
    <t>Narrow, mostly empty street between historic multi-story pink buildings, with a cow and bicycle near the curb.</t>
  </si>
  <si>
    <t>[{"id": "obj_1", "class": "building", "description": "Tall historic pink masonry building with many windows on the left side of the street", "position": "left side, extending from foreground to background", "orientation": "faces inward toward the street"}, {"id": "obj_2", "class": "building", "description": "Ornate pink building with overhanging bay and balcony on the right side of the street", "position": "right foreground and midground", "orientation": "faces inward toward the street"}, {"id": "obj_3", "class": "roadway", "description": "Curving, relatively narrow paved street between the buildings", "position": "center of scene, running from foreground bottom-right into background center", "orientation": "curves away from camera"}, {"id": "obj_4", "class": "cow", "description": "Single cow standing near curb at edge of roadway", "position": "lower-left to lower-center, just off the main travel lane", "orientation": "roughly facing toward the camera/right"}, {"id": "obj_5", "class": "bicycle", "description": "Parked bicycle leaning near the cow at the roadside", "position": "lower-left near curb", "orientation": "parallel to curb"}, {"id": "obj_6", "class": "person", "description": "Indistinct human figure standing near bicycle and cow", "position": "far lower-left edge of frame", "orientation": "facing toward street"}]</t>
  </si>
  <si>
    <t>[{"id": "anom_1", "related_objects": ["obj_3", "obj_4"], "type": "animal_on_roadway", "description": "Cow standing adjacent to a paved street where vehicles could travel.", "risk_score_1_to_10": 4, "risk_target": ["drivers", "pedestrians"], "region": {"x_center_norm": 0.22, "y_center_norm": 0.74, "width_norm": 0.2, "height_norm": 0.22}, "reasoning": "The cow is very close to the travel lane of a narrow curving street, which could obstruct or surprise vehicles, especially given limited sightlines. In many Indian urban environments, such animals on streets are relatively common, so while it is an anomaly from a traffic-safety viewpoint, it is contextually less severe, particularly since no moving vehicles are visible."}]</t>
  </si>
  <si>
    <t>Step 1 – The pink sandstone-like architecture, narrow street, and presence of a cow on the roadway suggest a historic urban area in India (medium-confidence). Step 2 – Scene types: roadway/traffic environment and mixed urban. No immediate high-speed traffic is visible, so risks are potential rather than imminent.</t>
  </si>
  <si>
    <t>blurred_downsampled/elk8_jpg.rf.4c7e7750d36c65c2e25d72d149f863d4.jpg</t>
  </si>
  <si>
    <t>Extremely blurred image that appears to show an outdoor natural or forested area with a road or path and a large animal-like shape near it.</t>
  </si>
  <si>
    <t>[{"id": "obj_1", "class": "unknown_animal_like_shape", "description": "Large blurred shape near the left side that could be an animal or vehicle but is not clearly identifiable", "position": "left side of the scene, adjacent to or partly on the apparent road or open area", "orientation": "indistinguishable due to blur"}, {"id": "obj_2", "class": "road_or_path", "description": "Light-colored elongated area that resembles a paved or gravel road or path", "position": "extends from lower center toward mid-right of the image", "orientation": "diagonal from bottom center toward upper right"}, {"id": "obj_3", "class": "vegetation_trees", "description": "Dark green and brown blurred background that appears to be trees or forest vegetation", "position": "background, mainly upper and left portions of the image", "orientation": "upright vertical forms suggested"}]</t>
  </si>
  <si>
    <t>The image is so heavily blurred and low resolution that no specific geographic, cultural, or precise safety-relevant details can be reliably determined. While there may be a large animal near a road, this cannot be confirmed with enough certainty to label it as an anomaly or assign a concrete risk score. Therefore, no explicit anomalies are reported.</t>
  </si>
  <si>
    <t>blurred_downsampled/0041.jpg</t>
  </si>
  <si>
    <t>Two-lane paved road with a central double yellow line and a large damaged section/pothole in the lane area.</t>
  </si>
  <si>
    <t>[{"id": "obj_1", "class": "roadway", "description": "Paved two-lane road surface extending into the distance", "position": "occupies most of the frame, both left and right lanes", "orientation": "aligned roughly vertically from bottom to top of image"}, {"id": "obj_2", "class": "lane_marking", "description": "Double yellow centerline separating opposing traffic directions", "position": "slightly left of the image center, running vertically", "orientation": "parallel yellow lines running from bottom to top"}, {"id": "obj_3", "class": "road_damage", "description": "Large irregular dark patch consistent with a pothole or severe surface break", "position": "lower central part of the image, crossing part of the travel lane", "orientation": "irregular shape, roughly horizontal spread across lane"}]</t>
  </si>
  <si>
    <t>[{"id": "anom_1", "related_objects": ["obj_1", "obj_3"], "type": "road_surface_damage", "description": "Significant pothole or broken pavement area on the travel lane of a two-lane road, which can pose a hazard to vehicles, especially at speed or for two-wheelers.", "risk_score_1_to_10": 6, "risk_target": ["drivers", "cyclists"], "region": {"x_center_norm": 0.5, "y_center_norm": 0.65, "width_norm": 0.5, "height_norm": 0.2}, "reasoning": "The dark, irregular broken section in the lane indicates a substantial defect in the road surface. On a presumably undivided road with opposing traffic, drivers may swerve to avoid it, and if hit directly it could cause tire or suspension damage or loss of control, particularly for motorcycles or bicycles. The damage is within the normal tire path area, increasing risk."}]</t>
  </si>
  <si>
    <t>Geolocation and context are low-confidence; the double yellow centerline suggests a two-way road typical of North or South American standards. No vehicles or pedestrians are visible, so the risk is potential rather than imminent, but the road defect is clearly safety-relevant.</t>
  </si>
  <si>
    <t>blurred_downsampled/051.png</t>
  </si>
  <si>
    <t>Urban sidewalk with a large cardboard box and another tall object placed on the walking path near parked cars and vegetation.</t>
  </si>
  <si>
    <t>[{"id": "obj_1", "class": "sidewalk", "description": "Paved brick sidewalk extending from bottom foreground toward upper background along the right side of the street.", "position": "covers most of the lower and central part of the image", "orientation": "aligned roughly bottom-to-top of the frame"}, {"id": "obj_2", "class": "cardboard_box", "description": "Rectangular cardboard box standing upright on the sidewalk near the right edge, close to a low wall and vegetation.", "position": "right-center of the image on the sidewalk", "orientation": "vertical, narrow side facing camera"}, {"id": "obj_3", "class": "large_object", "description": "Tall elongated object (likely another cardboard package or board) leaning against or near the box on the sidewalk.", "position": "slightly left of the box, mid-right of the image", "orientation": "leaning diagonally from sidewalk toward vegetation/wall"}, {"id": "obj_4", "class": "car", "description": "White car parked along the curb adjacent to the sidewalk.", "position": "upper-left portion of the image, parallel to the sidewalk", "orientation": "aligned with street direction"}, {"id": "obj_5", "class": "vegetation", "description": "Dense green foliage or hedge running along the back of the sidewalk behind the box and tall object.", "position": "right side of the image behind objects on sidewalk", "orientation": "linear along the sidewalk edge"}, {"id": "obj_6", "class": "curb", "description": "Raised curb separating the sidewalk from the street, with a faint painted marking near the parked car.", "position": "left edge of the sidewalk along the left side of the frame", "orientation": "parallel to sidewalk and street"}]</t>
  </si>
  <si>
    <t>[{"id": "anom_1", "related_objects": ["obj_2", "obj_3", "obj_1"], "type": "obstructed_sidewalk", "description": "Large cardboard box and tall object placed on the sidewalk, partially blocking the pedestrian path.", "risk_score_1_to_10": 5, "risk_target": ["pedestrians"], "region": {"x_center_norm": 0.65, "y_center_norm": 0.55, "width_norm": 0.35, "height_norm": 0.45}, "reasoning": "The two sizable objects occupy a significant portion of the walking area, forcing pedestrians to detour closer to the curb or squeeze by. This creates tripping risk, especially for people with mobility impairments or reduced visibility, and may push pedestrians nearer to the street and parked vehicles."}]</t>
  </si>
  <si>
    <t>Geolocation is uncertain; the paved brick sidewalk and parked car suggest a typical urban or suburban street in a temperate region. Risk rating assumes normal pedestrian use of the sidewalk and the absence of clear alternative space.</t>
  </si>
  <si>
    <t>blurred_downsampled/0066.jpg</t>
  </si>
  <si>
    <t>Highly blurred outdoor scene with a flat ground surface and indistinct small objects on it, bordered by vegetation.</t>
  </si>
  <si>
    <t>[{"id": "obj_1", "class": "ground_surface", "description": "Large flat surface occupying most of the right side of the image, likely a road, path, or open paved area", "position": "center and right side of scene", "orientation": "horizontal plane"}, {"id": "obj_2", "class": "vegetation", "description": "Green vertical shapes suggesting trees or bushes along one side of the scene", "position": "left side of scene", "orientation": "vertical"}, {"id": "obj_3", "class": "unidentified_small_objects", "description": "Cluster of small, blurry shapes on the ground surface; could be debris or small items but not identifiable", "position": "roughly center-right of the image on the ground", "orientation": "lying on the ground"}]</t>
  </si>
  <si>
    <t>Step 1 – Geolocation &amp; Context: Due to extreme blurring, no reliable geographic or cultural cues (such as signage, markings, or architectural details) are visible. The presence of green vegetation and a flat open surface suggests an outdoor environment, possibly a rural or semi-rural road or path, but this is low-confidence and highly uncertain. Step 2 – Scene Type: The flat surface adjacent to vegetation suggests a possible roadway, path, or open paved area at the natural-urban interface; however, exact classification is uncertain. Step 3 – Description: The image is too blurred to clearly distinguish vehicles, people, or specific hazards. Step 4 – Object Identification: Only coarse categories (ground surface, vegetation, and some small indistinct objects) can be identified; no humans, vehicles, or clear infrastructure elements are visible. Step 5 – Anomaly Detection: Because objects on the ground cannot be reliably identified as hazardous (they may be harmless debris, shadows, or natural objects), no specific anomaly or abnormal risk can be robustly asserted. Step 6–7 – Risk &amp; Localization: Without identifiable hazards, no risk scoring or bounding boxes for anomalies can be meaningfully provided. Step 8 – Reasoning: Any stronger claims (e.g., animals on road, person lying down, dangerous debris) would be speculative given the image quality, so this analysis remains conservative. Overall, no clearly identifiable safety anomaly is detected in this frame.</t>
  </si>
  <si>
    <t>blurred_downsampled/7628.jpg</t>
  </si>
  <si>
    <t>Highly blurred view of a roadside edge with a possible damaged patch or utility cover on the pavement next to a guardrail and vegetation.</t>
  </si>
  <si>
    <t>[{"id": "obj_1", "class": "road_surface", "description": "Paved road or path occupying most of the lower and central part of the image", "position": "foreground and center of scene", "orientation": "roughly horizontal plane receding from bottom toward upper part of image"}, {"id": "obj_2", "class": "possible_pothole_or_utility_cover", "description": "Darker rectangular or irregular patch on the road surface that may be a damaged section or utility cover", "position": "left-center of the paved surface", "orientation": "roughly aligned with road edge"}, {"id": "obj_3", "class": "roadside_barrier", "description": "Light-colored narrow strip consistent with a curb or guardrail along the upper part of the road edge", "position": "upper portion of image, separating pavement from vegetation", "orientation": "horizontal along the length of the scene"}, {"id": "obj_4", "class": "vegetation", "description": "Green area beyond the barrier, likely grass or low plants", "position": "top of image behind the roadside barrier", "orientation": "background area"}]</t>
  </si>
  <si>
    <t>[{"id": "anom_1", "related_objects": ["obj_2"], "type": "possible_road_surface_defect", "description": "A dark rectangular/irregular area on the pavement suggests a pothole, sunken utility cover, or uneven patch that could pose a trip or wheel hazard.", "risk_score_1_to_10": 4, "risk_target": ["pedestrians", "cyclists", "drivers"], "region": {"x_center_norm": 0.35, "y_center_norm": 0.55, "width_norm": 0.3, "height_norm": 0.25}, "reasoning": "Although the image is heavily blurred, the darker shape on the road surface stands out from the surrounding pavement and resembles a recessed or deteriorated patch. Near the edge of the road or path, such irregularities can catch pedestrians’ feet or bicycle wheels and can disturb vehicle stability if hit at speed. Due to the strong blur and uncertainty about its depth and exact nature, risk is assessed as mild to moderate rather than high."}]</t>
  </si>
  <si>
    <t>Geolocation and cultural context cannot be reliably inferred due to extreme blur; assessment is low-confidence and based solely on general roadside patterns. No humans or vehicles are visible, so risk is potential rather than immediate.</t>
  </si>
  <si>
    <t>blurred_downsampled/elk7_jpg.rf.692d77b19ac4579f5b990c5a918d36d2.jpg</t>
  </si>
  <si>
    <t>A large animal stands on a wet rural road with at least one car nearby in low-visibility, overcast conditions.</t>
  </si>
  <si>
    <t>[{"id": "obj_1", "class": "animal", "description": "Large deer- or elk-like animal standing on the roadway near the center of the lane", "position": "center of the road, slightly right of the image center", "orientation": "body angled roughly parallel to the road, head turned slightly toward camera"}, {"id": "obj_2", "class": "car", "description": "Vehicle with headlights on approaching or stopped on the opposite side of the road", "position": "left side of the road in the background", "orientation": "facing toward the camera"}, {"id": "obj_3", "class": "car", "description": "Camera-host vehicle, implied by dashboard/hood visible at bottom edge", "position": "foreground bottom center, in same lane as the animal", "orientation": "facing forward toward the animal"}, {"id": "obj_4", "class": "road", "description": "Two-lane rural paved road with lane markings, wet surface", "position": "extending from bottom foreground through center of image to horizon", "orientation": "running roughly from bottom center to upper center"}, {"id": "obj_5", "class": "environment", "description": "Open rural landscape with grassland or fields under overcast sky", "position": "background surrounding both sides of the road", "orientation": "not directional"}]</t>
  </si>
  <si>
    <t>[{"id": "anom_1", "related_objects": ["obj_1", "obj_2", "obj_3"], "type": "animal_on_roadway", "description": "A large animal is standing on an active traffic lane of a rural road in wet, low-visibility conditions, posing a collision hazard for nearby vehicles.", "risk_score_1_to_10": 8, "risk_target": ["drivers"], "region": {"x_center_norm": 0.55, "y_center_norm": 0.55, "width_norm": 0.4, "height_norm": 0.6}, "reasoning": "The animal is large and located directly on the roadway between the camera vehicle and the oncoming/other car, meaning any sudden movement or driver inattention could cause a high-impact collision. The road appears wet and visibility is poor, which increases braking distance and reduces reaction time. On rural roads, speeds can be moderate to high, making an animal in the lane a serious hazard."}]</t>
  </si>
  <si>
    <t>Location context is low-confidence but consistent with a rural road in a temperate region where large wildlife sometimes crosses or occupies the carriageway. Even though animals on rural roads can be somewhat common, the combination of size, position in-lane, wet surface, and low visibility elevates the risk.</t>
  </si>
  <si>
    <t>blurred_downsampled/0042.jpg</t>
  </si>
  <si>
    <t>Blurred view of a straight rural or semi-rural two-lane road with one small vehicle or motorcycle ahead and grassy shoulders on both sides.</t>
  </si>
  <si>
    <t>[{"id": "obj_1", "class": "roadway", "description": "Straight two-lane paved road with center markings, extending into the distance", "position": "occupies central vertical band of the image, from bottom edge toward horizon", "orientation": "aligned roughly vertically, receding away from camera"}, {"id": "obj_2", "class": "vehicle_unknown", "description": "Small, distant vehicle or motorcycle in the middle of the lane ahead", "position": "near image center, slightly below mid-height, on the roadway", "orientation": "facing away from the camera, traveling away along the road"}, {"id": "obj_3", "class": "vegetation", "description": "Grassy areas and scattered trees along both sides of the road", "position": "left and right sides of the image bordering the road", "orientation": "stationary landscape"}]</t>
  </si>
  <si>
    <t>Image is heavily blurred, limiting precise identification of objects, signage, or lane markings. No clear anomalies or abnormal risks can be confidently detected beyond generic roadway travel in a rural environment.</t>
  </si>
  <si>
    <t>blurred_downsampled/1047.jpg</t>
  </si>
  <si>
    <t>Highly blurred view of what appears to be a paved road surface with a dark circular or oval spot, no clearly discernible objects.</t>
  </si>
  <si>
    <t>[{"id": "obj_1", "class": "road_surface", "description": "Uniform grey paved surface occupying the whole frame, likely a road or large paved area", "position": "entire scene", "orientation": "horizontal plane"}, {"id": "obj_2", "class": "unknown_dark_spot", "description": "Dark circular or oval blurred patch on the pavement near the center-right of the image", "position": "center-right area of the scene", "orientation": "flat on surface"}]</t>
  </si>
  <si>
    <t>Step 1 – Geolocation &amp; Context: The image is too blurred for reliable geographic or cultural inference. At best, it appears to be a paved surface consistent with a roadway or large paved area; confidence is low, and no assumptions about country or region can be made. Step 2 – Scene Type: Most likely a roadway/traffic or paved pedestrian environment, but due to extreme blur this is uncertain. Step 3 – Description: The frame shows an out-of-focus grey surface with one darker spot; no vehicles, humans, lane markings, or distinct infrastructure are clearly visible. Step 4 – Objects: Only the general road/paved surface and one indistinct dark spot can be identified. Step 5 – Anomalies: Because the dark spot cannot be confidently classified as a pothole, debris, manhole, stain, or shadow, it cannot be labeled as an anomaly with confidence. No other unusual or hazardous elements are discernible. Step 6 – Risk Assessment: With no clearly identifiable hazards or context, no specific exposed group can be named and the risk is set to 0 by conservatism. Step 7 – Spatial Localization: The dark spot would be roughly centered at x≈0.6, y≈0.6 with width/height≈0.2–0.25 if it were treated as an object, but due to uncertainty it is not classified as an anomaly. Step 8 – Reasoning: The image quality prevents distinguishing normal pavement features from genuine hazards; without clear evidence, flagging anomalies would be speculative. Step 9 – Overall Safety Impact: The scene is treated as effectively indeterminate but with no explicit visible danger; categorized as safe due to lack of concrete hazards rather than confirmed safety.</t>
  </si>
  <si>
    <t>blurred_downsampled/0058.png</t>
  </si>
  <si>
    <t>Heavily blurred view of a sidewalk beside a street with vegetation along the edge and some vehicles in the background.</t>
  </si>
  <si>
    <t>[{"id": "obj_1", "class": "sidewalk", "description": "Paved pedestrian walkway running from bottom-left toward the center distance of the image", "position": "left and central portion of the scene", "orientation": "extends diagonally from foreground bottom-left to mid-background"}, {"id": "obj_2", "class": "vegetation", "description": "Tall grasses or plants bordering the right side of the sidewalk", "position": "right side of the scene along edge of walkway", "orientation": "vertical growth along curb or planter"}, {"id": "obj_3", "class": "car", "description": "Highly blurred light-colored vehicle on the roadway adjacent to the sidewalk", "position": "upper left background", "orientation": "aligned with road direction"}, {"id": "obj_4", "class": "pole_or_sign", "description": "Tall vertical post or sign structure near edge of sidewalk", "position": "center of image slightly right of middle", "orientation": "vertical"}]</t>
  </si>
  <si>
    <t>Image is extremely blurred, which limits detection of fine details such as pedestrians, obstacles, or signage. No clear anomalies or abnormal hazards are discernible given this low resolution.</t>
  </si>
  <si>
    <t>blurred_downsampled/0068.png</t>
  </si>
  <si>
    <t>Heavily blurred aerial/coastal view of a shoreline with waves, sandy beach, and adjacent urban buildings and trees.</t>
  </si>
  <si>
    <t>[{"id": "obj_1", "class": "coastline", "description": "Curving shoreline with breaking waves along the right side of the image", "position": "right and mid-to-upper portion of the scene", "orientation": "shore runs roughly from lower-right toward upper-left"}, {"id": "obj_2", "class": "beach", "description": "Light-colored strip of sand between the water and built-up area", "position": "central band from lower-right toward upper-left", "orientation": "parallel to shoreline"}, {"id": "obj_3", "class": "buildings", "description": "Cluster of mid- to low-rise urban buildings near the beach", "position": "left and central-left side of the scene", "orientation": "facing the shoreline"}, {"id": "obj_4", "class": "trees", "description": "Dense trees or palm-like vegetation near buildings and along the beach", "position": "lower and central areas of the scene", "orientation": "vertical growth; scattered patches"}, {"id": "obj_5", "class": "sea", "description": "Open water body with visible waves and whitecaps", "position": "right half and upper-right section of scene", "orientation": "extends outward from shore"}]</t>
  </si>
  <si>
    <t>The image is extremely blurred, preventing reliable identification of people, vehicles, or specific hazards such as strong currents flags, damaged infrastructure, or crowding. No clear anomalies or abnormal risks can be inferred beyond the generic presence of surf along an urban coastline.</t>
  </si>
  <si>
    <t>blurred_downsampled/anomaly_034.png</t>
  </si>
  <si>
    <t>Narrow residential or local street with a parked vehicle on the left and dense vegetation or hedges on the right along a curving roadway.</t>
  </si>
  <si>
    <t>[{"id": "obj_1", "class": "car", "description": "Light-colored car parked along the left side of a narrow road, close to the camera", "position": "left edge of the roadway, occupying much of the left foreground", "orientation": "aligned with direction of the road, facing away from the camera"}, {"id": "obj_2", "class": "vegetation", "description": "Dense greenery or hedge lining the right side of the road", "position": "right side of scene, extending from foreground to background", "orientation": "vertical along roadside"}, {"id": "obj_3", "class": "roadway", "description": "Narrow paved road or lane curving into the distance between the parked car and vegetation", "position": "center of image between left vehicle and right vegetation", "orientation": "curving away from camera"}]</t>
  </si>
  <si>
    <t>[{"id": "anom_1", "related_objects": ["obj_1", "obj_3"], "type": "narrowed_roadway_due_to_parking", "description": "Parked car on a very narrow lane significantly reduces the effective width of the roadway, limiting space for passing vehicles and possibly pedestrians.", "risk_score_1_to_10": 4, "risk_target": ["drivers", "pedestrians", "cyclists"], "region": {"x_center_norm": 0.2, "y_center_norm": 0.55, "width_norm": 0.35, "height_norm": 0.8}, "reasoning": "The lane appears quite narrow with the parked car occupying a large portion of the left side. Oncoming or passing traffic may have limited clearance, and any pedestrians would need to share the reduced road space, increasing collision risk, though no active conflict is visible."}]</t>
  </si>
  <si>
    <t>Geolocation and context are low-confidence due to heavy blur; assessment assumes a typical urban or suburban residential street with mixed vehicle and occasional pedestrian use.</t>
  </si>
  <si>
    <t>blurred_downsampled/anomaly_112.png</t>
  </si>
  <si>
    <t>Blurred view of an urban sidewalk where a large bush intrudes into the walking path near a low wall.</t>
  </si>
  <si>
    <t>[{"id": "obj_1", "class": "sidewalk", "description": "Paved pedestrian sidewalk extending from foreground to background along the left side of a low wall", "position": "occupies most of the left and central portion of the image", "orientation": "extends roughly from bottom toward upper left"}, {"id": "obj_2", "class": "vegetation", "description": "Large bush or shrub protruding into the sidewalk area next to a wall", "position": "right-center of the image adjacent to the wall", "orientation": "extends laterally from the wall into the pedestrian path"}, {"id": "obj_3", "class": "wall", "description": "Low light-colored wall or raised edge bordering the sidewalk", "position": "right side of the image running roughly bottom-right to upper-right", "orientation": "parallel to the sidewalk"}, {"id": "obj_4", "class": "building", "description": "Multi-story urban buildings in the background", "position": "upper part of the image", "orientation": "facing the street/sidewalk"}]</t>
  </si>
  <si>
    <t>[{"id": "anom_1", "related_objects": ["obj_1", "obj_2"], "type": "obstructed_sidewalk", "description": "Bush or shrub encroaches significantly into the sidewalk, partially blocking the pedestrian path.", "risk_score_1_to_10": 4, "risk_target": ["pedestrians"], "region": {"x_center_norm": 0.65, "y_center_norm": 0.55, "width_norm": 0.4, "height_norm": 0.5}, "reasoning": "The vegetation extends from the side into the main walking area, narrowing the effective width of the sidewalk. This can force pedestrians to step closer to the edge or into any adjacent path, and may pose a tripping or collision hazard, especially for visually impaired individuals or at night. However, no immediate traffic conflict is visible, so risk is moderate rather than severe."}]</t>
  </si>
  <si>
    <t>Step 1 – Geolocation &amp; Context: The paved sidewalk, low wall, and urban buildings suggest a generic urban area, likely in a temperate or Mediterranean climate, but image is very blurred so this is low-confidence. Scene Type: sidewalk/pedestrian zone within a residential/mixed urban environment. No vehicles or people are clearly visible; assessment focuses on infrastructure and vegetation encroachment.</t>
  </si>
  <si>
    <t>blurred_downsampled/0046.jpg</t>
  </si>
  <si>
    <t>Highly blurred view of a paved surface with stripe-like patterns and a circular manhole or drain cover.</t>
  </si>
  <si>
    <t>[{"id": "obj_1", "class": "paved_surface", "description": "Flat paved ground, likely a road or sidewalk, occupying the full frame", "position": "entire scene", "orientation": "horizontal plane relative to camera"}, {"id": "obj_2", "class": "manhole_cover", "description": "Circular feature resembling a manhole or drain cover near the lower-right portion of the frame", "position": "lower-right quadrant of the scene", "orientation": "lying flat on the paved surface"}, {"id": "obj_3", "class": "road_markings", "description": "Broad linear light and dark bands that may correspond to lane markings or crosswalk stripes", "position": "diagonally across the frame from upper-left toward lower-right", "orientation": "diagonal bands across the paved surface"}]</t>
  </si>
  <si>
    <t>Step 1 – Geolocation &amp; Context: The image is too blurred to confidently determine a specific country or region; it appears to be generic urban or roadway infrastructure with a manhole and possible markings. Confidence: low. No clear human, vehicle, or dynamic elements are visible due to the blur, so no specific safety anomalies can be identified. The scene appears to show normal infrastructure without obvious damage or obstruction, but the resolution prevents detailed inspection (e.g., cracks, missing covers). Therefore, no anomaly or abnormal risk is detected based on visible evidence.</t>
  </si>
  <si>
    <t>blurred_downsampled/RNaKOydiqdvq6s5Jq113Pw.jpg</t>
  </si>
  <si>
    <t>Blurred daytime view from inside a vehicle driving along a small paved road in a semi-rural/residential area with houses on the left and dense vegetation on the right.</t>
  </si>
  <si>
    <t>[{"id": "obj_1", "class": "roadway", "description": "Two-lane paved road extending straight ahead with a central white line marking", "position": "center of scene, extending from bottom edge to horizon", "orientation": "aligned roughly vertically in the image, receding into the distance"}, {"id": "obj_2", "class": "vehicle_interior", "description": "Dashboard or windshield frame of the observing vehicle", "position": "bottom edge of image", "orientation": "horizontal across lower frame"}, {"id": "obj_3", "class": "buildings", "description": "Small houses or low-rise buildings lining the left side of the road", "position": "left side of image, along roadway", "orientation": "fronts facing road"}, {"id": "obj_4", "class": "vegetation", "description": "Dense trees and bushes along right side of road", "position": "right side of image, adjacent to roadway", "orientation": "vertical growth along roadside"}, {"id": "obj_5", "class": "utility_poles", "description": "Series of utility poles and overhead wires along both sides of the road", "position": "upper left and upper right of image, following road", "orientation": "vertical poles with horizontal/diagonal cables"}, {"id": "obj_6", "class": "parked_vehicle_probable", "description": "Indistinct shape likely to be a parked car along left side of the road", "position": "mid-left of image near curb", "orientation": "parallel to roadway"}]</t>
  </si>
  <si>
    <t>The image is heavily blurred, limiting precise identification of hazards such as pedestrians, oncoming vehicles, or specific signage. Based on visible structure, no clear anomalies or abnormal risks are detectable, but real-world assessment would require sharper imagery.</t>
  </si>
  <si>
    <t>blurred_downsampled/0044.jpg</t>
  </si>
  <si>
    <t>A single vehicle traveling on a multi-lane rural or semi-rural roadway with surrounding vegetation, viewed from an elevated perspective; no clear hazards visible due to heavy blur.</t>
  </si>
  <si>
    <t>[{"id": "obj_1", "class": "car", "description": "Single vehicle on the roadway, roughly in the lower-left/center of the image", "position": "On a lane of a paved multi-lane road, traveling along the roadway", "orientation": "Aligned with the direction of the road; exact heading unclear due to blur"}, {"id": "obj_2", "class": "roadway", "description": "Paved multi-lane road curving through a rural or semi-rural area", "position": "Extends from the lower portion towards the upper area of the image", "orientation": "Curving away from the viewer"}, {"id": "obj_3", "class": "vegetation", "description": "Green vegetated areas or embankments on both sides of the road", "position": "Along the left and right sides of the roadway", "orientation": "Flanking the road edges"}]</t>
  </si>
  <si>
    <t>Step 1 – Geolocation &amp; Context: The scene appears to be a rural or semi-rural roadway, possibly in a temperate region given the green vegetation and open landscape. Due to the strong blur and lack of legible signage, markings, or architectural cues, geographic inference (country/region) is low-confidence. Assumption: a standard two- or multi-lane road typical of many countries with similar climates.
Step 2 – Scene Type: Primary scene type is a roadway/traffic environment within a natural-urban interface or rural setting (road through open land with vegetation).
Step 3 – Scene Description: The image shows a paved, multi-lane road curving through an area with vegetated sides or embankments. A single car is visible on the road. No other vehicles, pedestrians, or infrastructure details are clearly discernible because the image is heavily blurred.
Step 4 – Object Identification: Key safety-relevant elements are the car (potential traffic participant), the roadway (traffic infrastructure), and the surrounding vegetation/embankments (which could in other contexts represent run-off or collision hazards, but no specific issue is visible here).
Step 5 – Anomaly Detection: Because of the extreme blur, lane markings, barriers, and the car’s exact lane position, direction, and speed cannot be confidently determined. There is no clearly visible wrong-way driving, off-road vehicle position, pedestrians on the carriageway, or obvious infrastructure damage. Therefore, no specific anomaly or abnormal risk can be reliably identified.
Step 6 – Risk Assessment: With no clearly detected anomalies, no targeted risk assessment can be assigned beyond normal inherent driving risk on a rural road. Hence, the anomaly list is empty and overall_risk_score is set to 0 as per instructions.
Step 7 – Spatial Localization: Due to lack of clearly identifiable anomalous features, no bounding boxes are provided.
Step 8 – Reasoning: The analysis is constrained by the low resolution and strong blur which obscure critical details like road signs, crash barriers, shoulder width, and exact vehicle behavior. Within these constraints, the scene appears consistent with ordinary vehicle travel on a rural or semi-rural road.
Step 9 – Overall Safety Impact Summary: No explicit hazards or abnormal conditions are evident. The situation appears generally safe from the limited visual evidence, with only the baseline risks typical of road travel.</t>
  </si>
  <si>
    <t>blurred_downsampled/0098.png</t>
  </si>
  <si>
    <t>Blurred urban sidewalk beside a street with a parked or moving car, traffic sign, and roadside vegetation.</t>
  </si>
  <si>
    <t>[{"id": "obj_1", "class": "sidewalk", "description": "Paved pedestrian sidewalk extending from foreground to background along the left side of the image", "position": "occupies most of the lower and central part of the frame", "orientation": "aligned roughly from bottom toward top of image"}, {"id": "obj_2", "class": "road", "description": "Adjacent roadway running parallel to the sidewalk", "position": "left edge of the frame next to the sidewalk", "orientation": "from bottom-left toward upper-left"}, {"id": "obj_3", "class": "car", "description": "Single dark-colored car near the middle-background close to the curb", "position": "center of image, between road and sidewalk", "orientation": "roughly side-on to the camera, aligned with the road"}, {"id": "obj_4", "class": "traffic_sign", "description": "Tall pole with a blue or red circular traffic sign at the top", "position": "upper-left quadrant near the boundary between sidewalk and road", "orientation": "upright vertical pole"}, {"id": "obj_5", "class": "vegetation", "description": "Bushes and plants along the right side of the sidewalk and background greenery", "position": "right edge and upper part of the frame", "orientation": "stationary"}, {"id": "obj_6", "class": "building", "description": "Multistory light-colored building in the background", "position": "upper half of the image behind the street", "orientation": "faces toward the street"}]</t>
  </si>
  <si>
    <t>Image is heavily blurred, limiting fine detail such as exact sign type or any small obstacles; no clear anomalies or abnormal risks are visible.</t>
  </si>
  <si>
    <t>blurred_downsampled/0082.jpg</t>
  </si>
  <si>
    <t>Dashcam-like view of multi-lane urban road with several cars ahead in traffic; image is very blurred, with snow or light material along roadside.</t>
  </si>
  <si>
    <t>[{"id": "obj_1", "class": "car", "description": "Lead car directly ahead of camera vehicle in center lane", "position": "center foreground of lane ahead", "orientation": "facing away from camera, aligned with traffic flow"}, {"id": "obj_2", "class": "car", "description": "Car slightly to the right ahead, possibly in adjacent lane", "position": "right-center midground", "orientation": "facing away from camera, aligned with road"}, {"id": "obj_3", "class": "road", "description": "Multi-lane paved roadway with vehicles traveling in same direction", "position": "extends from bottom foreground toward horizon", "orientation": "roughly vertical perspective toward top of image"}, {"id": "obj_4", "class": "roadside_barrier_or_snowbank", "description": "Light-colored strip along left side of road that may be snow accumulation or barrier", "position": "left side of image along roadway edge", "orientation": "parallel to road"}, {"id": "obj_5", "class": "overhead_sign_or_gantry", "description": "Overhead structure spanning roadway with signage", "position": "upper central region above lanes", "orientation": "transverse to road"}, {"id": "obj_6", "class": "street_lamp_posts", "description": "Tall poles along sides of road", "position": "both sides of roadway extending upward", "orientation": "vertical"}]</t>
  </si>
  <si>
    <t>Location context: likely a cold-climate urban or peri-urban area given apparent snow or light roadside accumulation and multi-lane road with overhead gantry; confidence low due to extreme blur. No clear evidence of crashes, wrong-way driving, pedestrians in roadway, or other anomalies can be reliably identified because of image quality.</t>
  </si>
  <si>
    <t>blurred_downsampled/0038.jpg</t>
  </si>
  <si>
    <t>Blurred view of a paved road with vegetation on the sides and a dark irregular line or patch along the left side of the roadway.</t>
  </si>
  <si>
    <t>[{"id": "obj_1", "class": "road", "description": "Paved roadway extending into the distance, occupying most of the frame center and right side.", "position": "central and right portion of the image", "orientation": "aligned roughly from bottom center toward upper center"}, {"id": "obj_2", "class": "vegetation", "description": "Green vegetation or roadside greenery along the left edge of the image.", "position": "left edge of scene along side of the road", "orientation": "bordering the roadway"}, {"id": "obj_3", "class": "road_surface_anomaly", "description": "Dark, elongated irregular line or stain running roughly parallel to the road edge on the left side of the pavement.", "position": "left side of the road, extending from lower left toward mid-left of the image", "orientation": "longitudinal along the road"}]</t>
  </si>
  <si>
    <t>[{"id": "anom_1", "related_objects": ["obj_1", "obj_3"], "type": "road_surface_defect_or_spill", "description": "An elongated dark area along the left side of the lane may indicate a crack, rut, or spilled substance on the road surface that differs from normal uniform pavement.", "risk_score_1_to_10": 4, "risk_target": ["drivers", "motorcyclists", "cyclists"], "region": {"x_center_norm": 0.22, "y_center_norm": 0.6, "width_norm": 0.25, "height_norm": 0.7}, "reasoning": "The dark irregular strip along the left side of the roadway suggests a non-uniform surface, possibly a crack, rut, or spill. Such features can reduce traction, especially for two-wheeled vehicles, or cause minor steering disturbances for cars. Because the image is heavily blurred and the anomaly stays near the edge of the lane, the risk is assessed as mild rather than severe."}]</t>
  </si>
  <si>
    <t>Geolocation and context confidence is low due to heavy blur; scene appears to be a generic rural or semi-rural paved road with greenery. No visible pedestrians or vehicles; assessment is conservative given limited visual detail.</t>
  </si>
  <si>
    <t>blurred_downsampled/0004.png</t>
  </si>
  <si>
    <t>Urban sidewalk with a single pedestrian walking away from the camera alongside a building and a low wall.</t>
  </si>
  <si>
    <t>[{"id": "obj_1", "class": "pedestrian", "description": "Single person in light top and dark pants walking away from the camera, carrying a bag on the left side, centered on the sidewalk.", "position": "central foreground on sidewalk", "orientation": "back facing camera, moving away along sidewalk"}, {"id": "obj_2", "class": "sidewalk", "description": "Paved pedestrian walkway running from foreground to background.", "position": "occupies lower and central part of scene", "orientation": "aligned with pedestrian’s walking direction"}, {"id": "obj_3", "class": "building", "description": "Multi-story structure along the right side of the sidewalk.", "position": "right side of scene", "orientation": "facade parallel to sidewalk"}, {"id": "obj_4", "class": "low_wall_or_railing", "description": "Low boundary between sidewalk and adjacent elevated area near building.", "position": "right edge of sidewalk", "orientation": "parallel to sidewalk"}, {"id": "obj_5", "class": "parked_vehicle", "description": "Blurred vehicle parked along street beside the sidewalk.", "position": "left side of scene, partly visible", "orientation": "parallel to sidewalk and roadway"}]</t>
  </si>
  <si>
    <t>Image is heavily blurred, but no clear hazards such as traffic encroaching on the sidewalk, obstructions, or unsafe behaviors are visible. The pedestrian appears to be walking normally along a standard urban sidewalk environment.</t>
  </si>
  <si>
    <t>blurred_downsampled/0061.png</t>
  </si>
  <si>
    <t>Very blurred street-side scene with parked cars along a curb and what appears to be a bicycle or scooter near the curb.</t>
  </si>
  <si>
    <t>[{"id": "obj_1", "class": "car", "description": "Dark-colored car parked parallel to curb in the mid-right of the image", "position": "right side of scene, adjacent to curb", "orientation": "aligned with roadway, facing away from camera"}, {"id": "obj_2", "class": "car", "description": "Light-colored car partially visible on left side, also parallel to curb", "position": "left foreground, adjacent to curb", "orientation": "aligned with roadway"}, {"id": "obj_3", "class": "bicycle_or_scooter", "description": "Two-wheeled vehicle (likely bicycle or scooter) lying or standing near curb between the two parked cars", "position": "lower center of the scene, close to curb line", "orientation": "unclear due to blur; appears angled relative to curb"}, {"id": "obj_4", "class": "curb_sidewalk", "description": "Raised curb with colored edge (blue/white) and adjacent pedestrian walkway", "position": "right edge of the image extending from bottom to top", "orientation": "runs vertically through scene"}, {"id": "obj_5", "class": "roadway", "description": "Narrow roadway or parking lane adjacent to the curb with parked vehicles", "position": "central area between curb and parked cars", "orientation": "aligned roughly vertical in image"}]</t>
  </si>
  <si>
    <t>Image is heavily blurred, making precise identification of objects, lane markings, and potential hazards very uncertain. No clear evidence of abnormal behavior, crashes, or immediate hazards is visible, so no specific anomalies are recorded. Location and cultural context cannot be reliably inferred beyond a generic urban curbside parking area.</t>
  </si>
  <si>
    <t>blurred_downsampled/5.jpg</t>
  </si>
  <si>
    <t>Multi-lane urban or suburban road with moving cars and several large potholes in the right lane near the curb.</t>
  </si>
  <si>
    <t>[{"id": "obj_1", "class": "car", "description": "Dark green SUV-type vehicle traveling along the right side of the roadway, close to the camera.", "position": "left foreground, occupying right lane near the pothole area", "orientation": "moving from lower left toward upper right / away from camera along the road"}, {"id": "obj_2", "class": "car", "description": "Light-colored SUV-type vehicle in adjacent lane further ahead.", "position": "upper center-right, in middle or left lane of the roadway", "orientation": "moving in same general direction as obj_1"}, {"id": "obj_3", "class": "roadway", "description": "Asphalt road surface with multiple notable potholes and edge wear near the right lane.", "position": "extends from bottom to upper right of image", "orientation": "aligned roughly horizontally from left to right"}, {"id": "obj_4", "class": "potholes", "description": "Series of large, deep-looking potholes in the asphalt near the curb in the right-hand lane.", "position": "bottom center to bottom-right along edge of road", "orientation": "aligned linearly along direction of traffic"}]</t>
  </si>
  <si>
    <t>[{"id": "anom_1", "related_objects": ["obj_1", "obj_3", "obj_4"], "type": "severe road surface damage", "description": "Multiple large potholes along the vehicle wheel path in the right lane, posing risk of tire damage, loss of control, and abrupt evasive maneuvers.", "risk_score_1_to_10": 7, "risk_target": ["drivers", "vehicle_occupants", "motorcyclists", "cyclists"], "region": {"x_center_norm": 0.55, "y_center_norm": 0.73, "width_norm": 0.5, "height_norm": 0.3}, "reasoning": "The potholes are directly in the path where the near vehicle appears to be traveling, and they are large relative to the lane width, indicating significant depth or broken pavement. On an urban/suburban paved road this level of deterioration is abnormal and can cause sudden swerving or loss of control, particularly at speed or for two-wheeled vehicles."}]</t>
  </si>
  <si>
    <t>Geolocation confidence is low; scene resembles a temperate-climate urban or suburban roadway, likely in a country with right-hand traffic. Image is blurred, so exact depth of potholes and traffic speed are uncertain; risk score assumes moderate speeds and typical vehicle mix including potential two-wheelers.</t>
  </si>
  <si>
    <t>blurred_downsampled/0070.png</t>
  </si>
  <si>
    <t>Blurred coastal urban scene with buildings, palm trees, sandy beach, and rough waves along the shoreline.</t>
  </si>
  <si>
    <t>[{"id": "obj_1", "class": "buildings", "description": "Cluster of mid-rise buildings along the left side near the coast", "position": "left to upper-left of scene, adjacent to shoreline", "orientation": "facing toward the sea"}, {"id": "obj_2", "class": "beach", "description": "Wide sandy beach stretching along the center from middle-left to lower-right", "position": "central band between buildings/vegetation and the sea", "orientation": "parallel to shoreline"}, {"id": "obj_3", "class": "sea", "description": "Wavy sea with white surf and breaking waves along the shoreline", "position": "right and upper-right side of image", "orientation": "waves approaching shore from right toward left"}, {"id": "obj_4", "class": "vegetation", "description": "Palm trees and greenery near seafront and around buildings", "position": "lower half of image, especially lower-center and lower-right", "orientation": "upright vertical"}]</t>
  </si>
  <si>
    <t>Step 1 – Geolocation &amp; Context: Likely a coastal urban area with palm trees suggesting a warm or subtropical climate; specific country/region cannot be determined due to heavy blur (low-confidence). Step 2 – Scene Type: Coastal/aquatic environment with natural-urban interface and nearby residential or mixed urban buildings. Step 3 – Description: View from elevation over a seaside town with visible surf along the beach. Step 4 – Objects: Only large-scale elements can be confidently identified because the image is very blurred; no clear people, vehicles, or specific infrastructure elements are discernible. Step 5 – Anomaly Detection: No distinct hazards such as people in the surf, flooding in built-up areas, or damaged infrastructure can be identified at this resolution; rough waves are visible but without identifiable swimmers or boats. With this level of detail, it is not possible to infer concrete safety violations or active risks beyond generic coastal conditions, so no explicit anomaly is recorded. Overall the situation appears visually normal for a windy or wavy seaside setting.</t>
  </si>
  <si>
    <t>blurred_downsampled/63.jpg</t>
  </si>
  <si>
    <t>Image is extremely blurred; appears to show a dark elongated shape on a gray surface, but no clear objects or context are discernible.</t>
  </si>
  <si>
    <t>Due to the heavy blur and low resolution, it is impossible to reliably identify the environment, any people, vehicles, infrastructure, or specific hazards. No anomalies can be assessed from this frame.</t>
  </si>
  <si>
    <t>blurred_downsampled/elk9_jpg.rf.179ffbbbabf0fbe612fb1e66b6618900.jpg</t>
  </si>
  <si>
    <t>Blurred view of a paved road in a green area with vehicles stopped or moving slowly and a large animal crossing the roadway.</t>
  </si>
  <si>
    <t>[{"id": "obj_1", "class": "car", "description": "Large light-colored vehicle on the left side of the image close to the camera, partly visible along the road edge.", "position": "foreground left edge of roadway", "orientation": "facing into the scene along the road"}, {"id": "obj_2", "class": "car", "description": "Dark-colored vehicle on the right side of the road farther ahead.", "position": "right side mid-background of roadway", "orientation": "aligned with road direction"}, {"id": "obj_3", "class": "animal", "description": "Large four-legged animal (likely a cow or similar livestock) standing across the roadway.", "position": "center of the road in the mid-background", "orientation": "body roughly perpendicular to direction of traffic"}, {"id": "obj_4", "class": "road", "description": "Paved road passing through a green, possibly rural or peri-urban area.", "position": "occupies central lower portion of image", "orientation": "extending from bottom center into the distance"}, {"id": "obj_5", "class": "vegetation", "description": "Dense green trees or foliage along the sides of the road.", "position": "upper left and right sides framing the road", "orientation": "vertical growth along roadside"}]</t>
  </si>
  <si>
    <t>[{"id": "anom_1", "related_objects": ["obj_1", "obj_2", "obj_3"], "type": "animal_on_roadway", "description": "A large animal is standing across the travel lane of an active road, obstructing or significantly constricting the path of vehicles.", "risk_score_1_to_10": 7, "risk_target": ["drivers", "vehicle_occupants"], "region": {"x_center_norm": 0.55, "y_center_norm": 0.55, "width_norm": 0.35, "height_norm": 0.4}, "reasoning": "The animal occupies the roadway in front of vehicles, which can force sudden braking or swerving and increases collision risk. The environment appears like a non-highway but still motor-vehicle road; such an obstruction is hazardous though somewhat expected in some rural contexts. The blur limits precise distance estimation, but given the position of vehicles, drivers must react carefully to avoid striking the animal."}]</t>
  </si>
  <si>
    <t>Geolocation and cultural context are low-confidence; the scene suggests a rural or natural-urban interface road where livestock may wander onto the pavement. Image blurring limits detailed assessment of signage, lane markings, and exact vehicle motion.</t>
  </si>
  <si>
    <t>blurred_downsampled/0022.jpg</t>
  </si>
  <si>
    <t>Heavily blurred urban street or parking area with several vehicles; details of central dark shapes on pavement are indiscernible.</t>
  </si>
  <si>
    <t>[{"id": "obj_1", "class": "car", "description": "Light-colored car on the left side of the scene, aligned with the roadway or parking area", "position": "left side, mid-to-upper portion of the image", "orientation": "appears roughly parallel to the curb or road edge"}, {"id": "obj_2", "class": "car", "description": "Red car toward the upper-right area of the scene", "position": "upper-right quadrant of the image", "orientation": "roughly aligned with roadway or parking direction"}, {"id": "obj_3", "class": "car", "description": "Additional cars faintly visible in the background", "position": "upper area of the image", "orientation": "aligned along the street or parking area"}, {"id": "obj_4", "class": "unknown_object", "description": "Two dark, low-lying shapes on the pavement near the center foreground; extremely blurred and not clearly identifiable as people, animals, or debris", "position": "center-lower portion of the image, on the roadway or paved surface", "orientation": "lying flat on the surface"}]</t>
  </si>
  <si>
    <t>The image is highly blurred, making it impossible to confidently identify the dark shapes on the pavement or determine if they represent a safety-critical anomaly (e.g., fallen person, animal, or debris). Due to this uncertainty and lack of discernible hazardous interactions (no visible moving vehicles close to a clearly vulnerable subject), no specific anomaly is recorded. If this were a real-world assessment, higher-resolution imagery or on-site verification would be necessary.</t>
  </si>
  <si>
    <t>blurred_downsampled/090.png</t>
  </si>
  <si>
    <t>Night-time urban sidewalk outside a building entrance, with large discarded cardboard and plastic debris lying near a fire hydrant and shrubbery.</t>
  </si>
  <si>
    <t>[{"id": "obj_1", "class": "sidewalk", "description": "Paved pedestrian sidewalk covering most of the lower part of the image", "position": "foreground and midground across the scene", "orientation": "horizontal plane"}, {"id": "obj_2", "class": "building_entrance", "description": "Lit doorway or lobby entrance of a building in the background", "position": "right-center background", "orientation": "faces toward the sidewalk"}, {"id": "obj_3", "class": "vegetation", "description": "Bushes or small shrubs planted in a bed adjacent to the sidewalk", "position": "left-center of image along building edge", "orientation": "upright"}, {"id": "obj_4", "class": "fire_hydrant", "description": "Red and yellow fire hydrant next to the sidewalk", "position": "right foreground near curb", "orientation": "vertical"}, {"id": "obj_5", "class": "cardboard_box", "description": "Large flattened or partially collapsed cardboard box lying on the sidewalk", "position": "right foreground extending toward image center", "orientation": "leaning, partially flat on ground"}, {"id": "obj_6", "class": "plastic_packaging", "description": "Loose plastic wrapping and packing material spread on the sidewalk near the cardboard box", "position": "lower-center foreground", "orientation": "spread across ground"}, {"id": "obj_7", "class": "trash_pile", "description": "Assorted discarded materials or containers stacked near the vegetation", "position": "left-midground along edge of sidewalk", "orientation": "upright pile"}]</t>
  </si>
  <si>
    <t>[{"id": "anom_1", "related_objects": ["obj_5", "obj_6", "obj_7", "obj_1", "obj_4"], "type": "sidewalk_obstruction_from_waste", "description": "Large cardboard box and loose plastic packaging are left on the sidewalk, partially blocking pedestrian passage and located close to a fire hydrant.", "risk_score_1_to_10": 5, "risk_target": ["pedestrians", "general_civilians"], "region": {"x_center_norm": 0.55, "y_center_norm": 0.65, "width_norm": 0.8, "height_norm": 0.6}, "reasoning": "The waste occupies significant sidewalk area, creating a trip hazard, especially at night when visibility is reduced. The proximity to the fire hydrant could also impede quick access in an emergency. While not immediately life-threatening, it increases the likelihood of falls or minor injuries for pedestrians."}]</t>
  </si>
  <si>
    <t>Step 1 – Geolocation &amp; Context: The scene appears to be in a relatively dense urban or suburban area, likely in a temperate-climate city, inferred from the paved sidewalk, building style, and planted shrubs. No clear text or region-specific signage is visible, so location inference is low-confidence and generic-urban. Step 2 – Scene Type: This is primarily a sidewalk/pedestrian zone within a residential or mixed-urban environment. Step 8 – Reasoning: The key safety concern is improper placement of bulky waste on a pedestrian path. In typical urban contexts, sidewalks are expected to remain largely unobstructed; such clutter, especially at night, raises moderate risk for pedestrians but does not indicate an actively dangerous situation.</t>
  </si>
  <si>
    <t>blurred_downsampled/0094.png</t>
  </si>
  <si>
    <t>Blurred urban sidewalk with nearby parked or slow-moving vehicles and at least one pedestrian.</t>
  </si>
  <si>
    <t>[{"id": "obj_1", "class": "car", "description": "Light-colored car along the left side of the scene near the curb or lane edge", "position": "left-center of image, aligned with roadway", "orientation": "facing away from camera along street"}, {"id": "obj_2", "class": "pedestrian", "description": "Person in red-toned clothing standing or walking along the right side of the street or sidewalk", "position": "right-center background", "orientation": "facing roughly toward or across the street"}, {"id": "obj_3", "class": "sidewalk", "description": "Paved pedestrian walkway in the foreground and center-right", "position": "foreground and midground, mainly right side", "orientation": "parallel to street"}, {"id": "obj_4", "class": "roadway", "description": "Vehicle lane with a reddish line or strip near the curb", "position": "left side stretching from foreground to background", "orientation": "extends away from camera"}, {"id": "obj_5", "class": "street_furniture", "description": "Vertical post or bollard near the foreground-right, possibly a utility or sign post", "position": "right foreground", "orientation": "upright"}, {"id": "obj_6", "class": "utility_cover", "description": "Square or round access cover on the sidewalk surface", "position": "lower-center foreground", "orientation": "flat on ground"}]</t>
  </si>
  <si>
    <t>Image is heavily blurred, limiting precise assessment of signage, markings, and finer hazards such as cracks or small obstacles. Within what can be seen, there is no clearly abnormal behavior, obstruction, or immediate safety hazard detectable.</t>
  </si>
  <si>
    <t>blurred_downsampled/0006.png</t>
  </si>
  <si>
    <t>Night-time urban intersection with a pedestrian crosswalk, sidewalk, stone wall and some vehicles in the background.</t>
  </si>
  <si>
    <t>[{"id": "obj_1", "class": "crosswalk", "description": "Painted zebra-style pedestrian crosswalk extending from the bottom center toward the mid-ground of the image.", "position": "foreground center, connecting sidewalk at bottom with roadway ahead", "orientation": "aligned roughly vertically from bottom toward upper center"}, {"id": "obj_2", "class": "sidewalk", "description": "Brick or tile sidewalk bordering the road at the bottom left edge of the frame.", "position": "bottom left edge of scene", "orientation": "parallel to road edge"}, {"id": "obj_3", "class": "roadway", "description": "Paved road surface with lane markings, curving to the right in the mid to right side of the frame.", "position": "center to right side of scene, continuing into background", "orientation": "curving from bottom center toward upper right"}, {"id": "obj_4", "class": "pedestrian", "description": "Single person standing near a stone wall by the far end of the crosswalk.", "position": "upper center-left, near the end of the crosswalk beside roadside", "orientation": "facing roughly toward the camera or slightly to the right"}, {"id": "obj_5", "class": "vehicles", "description": "One or more vehicles with headlights and rear lights visible along the road in the background.", "position": "upper right portion of the scene along the roadway", "orientation": "aligned with direction of the road, likely moving along it"}, {"id": "obj_6", "class": "tree", "description": "Large tree canopy covering much of the upper part of the image over the sidewalk or roadside.", "position": "top center of scene, overhanging the pedestrian area", "orientation": "stationary, canopy extending over sidewalk and road edge"}, {"id": "obj_7", "class": "stone wall", "description": "Low stone retaining wall or barrier along the sidewalk where the pedestrian is standing.", "position": "mid to upper left side, behind pedestrian", "orientation": "runs horizontally along roadside"}]</t>
  </si>
  <si>
    <t>Step 1 – Geolocation &amp; Context: The scene appears to be an urban street at night, possibly in a Mediterranean or Middle Eastern city based on the stone wall, tree cover, and curb paint style, but the strong blur makes this low-confidence. Road and crosswalk use look typical. Step 2 – Scene Type: roadway/traffic environment with adjacent sidewalk in a mixed urban setting. Step 5 – Anomaly Detection: Due to the heavy blur, no clear traffic violations, obstructions, or unsafe behaviors are confidently visible; the pedestrian is on the side near the wall, and vehicles are on the roadway. No explicit anomaly or abnormal risk can be established from this single frame.</t>
  </si>
  <si>
    <t>blurred_downsampled/0106.jpg</t>
  </si>
  <si>
    <t>Narrow old-town alley with stone buildings, a motorcyclist riding through, several parked motorcycles, and cows lying in the middle of the lane.</t>
  </si>
  <si>
    <t>[{"id": "obj_1", "class": "motorcycle", "description": "Motorcycle being ridden by a person toward the camera in the left-center of the alley", "position": "left-center of road lane, moving toward foreground", "orientation": "facing toward camera / bottom of frame"}, {"id": "obj_2", "class": "rider", "description": "Person seated on the moving motorcycle in left-center", "position": "on motorcycle obj_1 in left-center of lane", "orientation": "facing toward camera"}, {"id": "obj_3", "class": "animal", "description": "Large cow lying on the ground in the middle-right of the narrow alley", "position": "center-right of lane, occupying substantial portion of roadway", "orientation": "body aligned along alley, head roughly toward left"}, {"id": "obj_4", "class": "animal", "description": "Second cow lying on ground slightly behind the first in the alley", "position": "mid-distance center of lane", "orientation": "lying parallel to alley"}, {"id": "obj_5", "class": "motorcycle", "description": "Several parked motorcycles and scooters along sides of alley", "position": "both sides of alley, mainly mid to background", "orientation": "parked parallel to walls"}, {"id": "obj_6", "class": "building", "description": "Stone buildings with arches and balconies lining both sides of narrow alley", "position": "both sides of scene", "orientation": "parallel to alley"}]</t>
  </si>
  <si>
    <t>[{"id": "anom_1", "related_objects": ["obj_1", "obj_2", "obj_3", "obj_4"], "type": "animals_in_travel_lane", "description": "Two cows are lying in the middle of a very narrow alley used by motorcyclists, restricting the travel lane and creating a collision hazard.", "risk_score_1_to_10": 5, "risk_target": ["drivers", "motorcyclists", "pedestrians"], "region": {"x_center_norm": 0.64, "y_center_norm": 0.53, "width_norm": 0.34, "height_norm": 0.32}, "reasoning": "The cows occupy most of the lane width ahead of the rider in a confined space with limited maneuvering room. While cows in streets are relatively common in some South Asian urban settings, they still force sudden speed changes or swerving by riders, especially on a shared narrow alley where sightlines and escape paths are limited. This presents a moderate risk of low-speed collision or fall rather than severe high-speed crashes."}]</t>
  </si>
  <si>
    <t>Likely South Asian old-city alley (e.g., India) inferred from architecture, narrow stone lane, and presence of street cows. Confidence medium due to blur. Risk scored as moderate given low expected speeds but high interaction between animals and riders in tight space.</t>
  </si>
  <si>
    <t>blurred_downsampled/0032.jpg</t>
  </si>
  <si>
    <t>Heavily blurred view of a two-lane paved road with double yellow center lines, surrounded by greenery.</t>
  </si>
  <si>
    <t>[{"id": "obj_1", "class": "roadway", "description": "Paved two-lane road extending into the distance with visible double yellow center lines", "position": "occupies most of the frame from bottom foreground to upper center, aligned roughly vertically", "orientation": "road axis running from bottom center toward top center"}, {"id": "obj_2", "class": "road_markings", "description": "Double yellow centerline marking indicating opposing traffic lanes", "position": "central vertical band of the roadway from lower middle toward upper middle", "orientation": "longitudinal along direction of travel"}, {"id": "obj_3", "class": "vegetation", "description": "Trees or dense greenery along both sides of the road", "position": "left and right edges of the upper half of the image", "orientation": "bordering the road laterally"}]</t>
  </si>
  <si>
    <t>Step 1 – Geolocation &amp; Context: Likely a rural or semi-rural road in a region that uses double yellow centerlines to separate opposing traffic (e.g., North America, parts of Latin America or Asia). No signage, vehicles, or cultural markers are discernible due to strong blur, so this is low-confidence. Step 2 – Scene Type: Roadway/traffic environment; natural-urban interface due to roadside vegetation. Step 3 – Description: The image shows only the road surface, center markings, and surrounding greenery; no vehicles, pedestrians, animals, or infrastructure details are clearly visible. Step 5 – Anomaly Detection: Because of the heavy blur and low resolution, no specific hazards (vehicles, people, obstacles, damage) can be reliably identified; therefore no explicit anomalies are recorded. Risk is scored as 0 here because the task concerns visible anomalies in the frame, not hypothetical ones that cannot be confirmed from the image.</t>
  </si>
  <si>
    <t>blurred_downsampled/0035.jpg</t>
  </si>
  <si>
    <t>Severely damaged roadway with large cracks and surface collapse, likely after a natural disaster or major structural failure.</t>
  </si>
  <si>
    <t>[{"id": "obj_1", "class": "roadway", "description": "Paved road surface with a central yellow line running through the image", "position": "center of scene extending from foreground to background", "orientation": "aligned roughly vertically in the frame"}, {"id": "obj_2", "class": "road_damage", "description": "Large fractures, uplifted and sunken segments across the road", "position": "spanning the mid and lower central portion of the road", "orientation": "irregular cracks crossing perpendicular and diagonal to the road direction"}]</t>
  </si>
  <si>
    <t>[{"id": "anom_1", "related_objects": ["obj_1", "obj_2"], "type": "severe_infrastructure_damage", "description": "The roadway surface is heavily broken with major cracks and deformations, making it impassable and structurally unsafe.", "risk_score_1_to_10": 9, "risk_target": ["drivers", "pedestrians", "cyclists", "general_civilians"], "region": {"x_center_norm": 0.5, "y_center_norm": 0.6, "width_norm": 0.9, "height_norm": 0.7}, "reasoning": "The visible pavement is not continuous; instead there are large gaps, uplifted slabs, and possible subsidence. Any road user attempting to traverse this section would face a high likelihood of collision, vehicle rollover, falls, or entrapment. The damage appears extensive rather than minor potholes, indicating a serious hazard."}]</t>
  </si>
  <si>
    <t>Location and country cannot be reliably inferred due to blur and lack of distinct cultural markers; assessment of risk is based solely on visible road destruction, which would be considered extremely hazardous in any context.</t>
  </si>
  <si>
    <t>blurred_downsampled/tdAMPttXUNoDuJgTdnTy5w.jpg</t>
  </si>
  <si>
    <t>Residential side street viewed from inside a car, with parked vehicles on the right and apartment buildings on the left.</t>
  </si>
  <si>
    <t>[{"id": "obj_1", "class": "car", "description": "Viewer's vehicle interior visible at bottom edge, facing down the narrow residential road", "position": "foreground bottom center, occupying lower frame edge on roadway", "orientation": "oriented straight ahead along the road"}, {"id": "obj_2", "class": "car", "description": "Red car parked on the right side of the narrow road", "position": "midground right side of roadway, partially on street edge", "orientation": "facing away from the camera, aligned with road"}, {"id": "obj_3", "class": "car", "description": "Another vehicle further ahead on the right side beyond the red car", "position": "background right side of roadway", "orientation": "appears aligned along the road"}, {"id": "obj_4", "class": "building", "description": "Multi-story residential building with balconies on the left side of the road", "position": "left side of frame along roadside", "orientation": "parallel to road"}, {"id": "obj_5", "class": "street_light", "description": "Tall street lamp positioned on right roadside", "position": "midground right above parked cars", "orientation": "vertical"}, {"id": "obj_6", "class": "vegetation", "description": "Dense bushes and greenery along right edge of the road", "position": "right roadside and shoulder", "orientation": "alongside road"}]</t>
  </si>
  <si>
    <t>Step 1 – The architecture, narrow paved road, and apartment style suggest a generic European-style residential area, but image blur prevents precise geolocation; confidence is low. Step 2 – Scene type: roadway/traffic environment and residential urban setting. Step 3 – No pedestrians, cyclists, or obvious hazards are visible; vehicles appear properly parked along a low-traffic residential street. Due to significant blur, finer details (e.g., exact parking legality, small obstacles) cannot be reliably assessed, so no specific anomaly is identified.</t>
  </si>
  <si>
    <t>blurred_downsampled/7006.jpg</t>
  </si>
  <si>
    <t>Extremely blurred view of a straight paved road with a central white line through open countryside under a bright sky.</t>
  </si>
  <si>
    <t>[{"id": "obj_1", "class": "roadway", "description": "Main paved road surface dominating the lower and central part of the frame, receding toward the horizon.", "position": "center foreground to center background", "orientation": "aligned roughly vertically in the image, extending away from the viewer"}, {"id": "obj_2", "class": "lane_marking", "description": "Single white line along the center of the road.", "position": "vertical center of the image on the road surface", "orientation": "longitudinal, in the direction of travel"}, {"id": "obj_3", "class": "vegetation", "description": "Low grassland or fields on both sides of the road.", "position": "left and right sides of the mid to upper portions of the image", "orientation": "flat, bordering the roadway"}, {"id": "obj_4", "class": "sky", "description": "Bright sky with clouds and strong sun or glare near the horizon.", "position": "upper half of the image", "orientation": "overhead and toward the horizon ahead"}]</t>
  </si>
  <si>
    <t>Step 1 – Geolocation &amp; Context: The scene appears to be a rural or open-country paved road with a central lane marking and surrounding fields under a bright sky. No specific country or region can be determined with confidence; this type of road and landscape is common in many temperate or semi-arid regions. Confidence in geolocation is low; assumptions are that this is a standard two-lane road in a sparsely populated area. Step 2 – Scene Type: Primarily a roadway / traffic environment with natural-urban interface (open countryside). Step 3 – Description: Straight paved road with a central line, flanked by grassy fields, leading toward a bright horizon and partly cloudy sky. No vehicles, people, or structures are discernible, in part because the image is heavily blurred and low resolution. Step 4 – Object Identification: Only major environmental and infrastructure elements (road, lane marking, vegetation, sky) are reliably visible. Step 5 – Anomaly Detection: The image does not clearly show vehicles, pedestrians, animals, or specific hazards such as debris, flooding, or damaged infrastructure. Due to the strong blur, many potential details are not observable, but based on what is actually visible, there is no concrete, evidenced anomaly or abnormal risk to identify. Step 6 – Risk Assessment: Since no specific anomaly can be confirmed, no targeted risk can be assigned; overall risk scoring is restricted to what can be observed, not what might hypothetically exist beyond the resolution. Step 7 – Spatial Localization: Not applicable because no discrete anomalies are detected. Step 8 – Reasoning: The lack of identifiable vehicles, pedestrians, obstacles, or infrastructure damage, combined with a standard-looking rural road and normal weather conditions, suggests no observable deviation from expected conditions. The blur is treated as a property of the image capture, not a real-world visibility condition. Step 9 – Overall Safety Impact: Based solely on visible evidence, the scene appears normal and not actively hazardous; no specific exposed group faces a clearly elevated or imminent risk within the bounds of what can be seen.</t>
  </si>
  <si>
    <t>blurred_downsampled/603.jpg</t>
  </si>
  <si>
    <t>Very blurred view of a paved surface with multiple parallel white lines, likely a roadway or similar marked surface, with no discernible people, vehicles, or hazards.</t>
  </si>
  <si>
    <t>[{"id": "obj_1", "class": "road_surface", "description": "Paved surface occupying the entire frame with several parallel white lines", "position": "covers entire visible scene", "orientation": "surface receding away from the viewer; lines approximately vertical in image"}, {"id": "obj_2", "class": "lane_markings", "description": "Multiple blurred white parallel lines on the paved surface", "position": "extending from bottom to top of frame across the width", "orientation": "roughly vertical relative to image frame"}]</t>
  </si>
  <si>
    <t>Geolocation &amp; context: low-confidence; appears to be a generic marked paved surface, likely a multi-lane road or track. Due to extreme blur, no distinct vehicles, pedestrians, or specific hazards can be identified, so no concrete anomalies or risks can be assessed beyond normal expectations for a roadway environment.</t>
  </si>
  <si>
    <t>blurred_downsampled/clm_s_01_2011-11-14-07-00.png</t>
  </si>
  <si>
    <t>Blurry elevated view of a coastal urban area with beachfront, waves, and adjacent buildings and palm trees.</t>
  </si>
  <si>
    <t>[{"id": "obj_1", "class": "coastline", "description": "Curved sandy beach running from lower right toward upper left alongside the sea", "position": "center extending from right edge to upper left", "orientation": "roughly diagonal from right-center to upper-left"}, {"id": "obj_2", "class": "sea", "description": "Body of water with visible waves breaking onto the shore", "position": "right half of the image and upper center", "orientation": "waves approaching roughly perpendicular to shore"}, {"id": "obj_3", "class": "buildings", "description": "Cluster of mid-rise urban buildings near the beach", "position": "left side and lower left of the image", "orientation": "facing toward the coast"}, {"id": "obj_4", "class": "vegetation", "description": "Palm trees and other greenery near beachfront and between buildings", "position": "lower half of image, especially lower center and right", "orientation": "upright"}]</t>
  </si>
  <si>
    <t>Step 1 – Likely a warm coastal urban environment, possibly Mediterranean or subtropical based on palm trees and beachfront high-rises, but confidence is low due to heavy blur and lack of readable signage or distinctive architecture. Step 2 – Scene type: coastal/aquatic environment and residential/mixed urban interface. Step 3 – The image is very blurred, preventing identification of people, vehicles, or detailed infrastructure, so any specific safety anomalies (such as swimmers in rough surf) cannot be reliably detected. No clear abnormal events, hazards, or unsafe behaviors are visible at this resolution; therefore no explicit anomalies are reported.</t>
  </si>
  <si>
    <t>blurred_downsampled/0024.jpg</t>
  </si>
  <si>
    <t>Blurred view of a roadway with a large pothole or road surface collapse between double yellow center lines near a vehicle.</t>
  </si>
  <si>
    <t>[{"id": "obj_1", "class": "roadway", "description": "Paved road surface with two yellow center lines running vertically through the frame", "position": "center of scene, extending from bottom to top", "orientation": "lines roughly vertical in image"}, {"id": "obj_2", "class": "pothole", "description": "Large dark depression or hole in the road surface overlapping the yellow center lines", "position": "central lower-middle area of the lane along the yellow lines", "orientation": "irregular shape, spanning across and between the lines"}, {"id": "obj_3", "class": "vehicle", "description": "Partially visible vehicle body or wheel area near the damaged section of road", "position": "left side of the frame adjacent to the damaged road area", "orientation": "parked or moving parallel to road markings"}]</t>
  </si>
  <si>
    <t>[{"id": "anom_1", "related_objects": ["obj_1", "obj_2", "obj_3"], "type": "large_pothole_or_surface_collapse", "description": "A large pothole or localized collapse in the middle of the roadway straddling the center yellow lines, posing a hazard to passing vehicles and potentially causing loss of control or damage.", "risk_score_1_to_10": 7, "risk_target": ["drivers", "vehicle_occupants", "motorcyclists", "cyclists"], "region": {"x_center_norm": 0.5, "y_center_norm": 0.6, "width_norm": 0.45, "height_norm": 0.35}, "reasoning": "The dark, recessed area interrupts the continuity of the road surface and markings, indicating a significant hole rather than normal texture. Its placement along the travel path and proximity to a vehicle means drivers, especially of smaller vehicles or two-wheelers, could hit it unexpectedly, risking tire or suspension damage and potential loss of control."}]</t>
  </si>
  <si>
    <t>Step 1 – Likely an urban or suburban roadway in a region that uses yellow double center lines (e.g., North America or similar), but this is low-confidence due to blur and lack of signage. Step 2 – Primary scene type: roadway/traffic environment. Step 8 – Reasoning is limited by image blur, but the size and contrast of the defect strongly suggest a pothole or localized subsidence rather than a painted or wet patch. The key risk is to vehicles traveling at speed without time to avoid the defect.</t>
  </si>
  <si>
    <t>blurred_downsampled/0026.jpg</t>
  </si>
  <si>
    <t>Very blurred view of what appears to be a roadway with dark surface and lighter irregular patches that may be potholes or surface damage.</t>
  </si>
  <si>
    <t>[{"id": "obj_1", "class": "road_surface", "description": "Dark, elongated surface extending from foreground to background, likely a paved road or lane", "position": "occupies most of the frame, center and extending to edges", "orientation": "aligned roughly from bottom-center toward top-center, suggesting road direction away from viewer"}, {"id": "obj_2", "class": "surface_irregularity", "description": "Light, elongated patch on the road that may indicate a pothole, patch, or road damage", "position": "lower-center of the frame on the roadway", "orientation": "roughly horizontal across the road"}, {"id": "obj_3", "class": "surface_irregularity", "description": "Additional lighter patches further along the roadway, possibly more potholes or damaged sections", "position": "mid-center to upper-center area along the road path", "orientation": "aligned along roadway direction"}]</t>
  </si>
  <si>
    <t>[{"id": "anom_1", "related_objects": ["obj_1", "obj_2", "obj_3"], "type": "road_surface_damage_suspected", "description": "Irregular light patches on the dark road surface suggest possible potholes or degraded pavement that could pose a hazard to vehicles and cyclists.", "risk_score_1_to_10": 5, "risk_target": ["drivers", "cyclists", "motorcyclists"], "region": {"x_center_norm": 0.5, "y_center_norm": 0.6, "width_norm": 0.5, "height_norm": 0.5}, "reasoning": "Even though the image is highly blurred, the contrast between the dark surface and lighter irregular shapes in the lane area is consistent with potholes or patches of damaged pavement. Such defects can cause loss of control, vehicle damage, or falls, especially for two-wheeled vehicles, giving a moderate risk rating. Uncertainty is high due to image blur, so the assessment is conservative."}]</t>
  </si>
  <si>
    <t>Geolocation and exact context are highly uncertain because of the extreme blur; assessment is based solely on the apparent road-like geometry and tonal patterns. No vehicles or pedestrians can be reliably identified.</t>
  </si>
  <si>
    <t>blurred_downsampled/clm_s_01_2011-11-23-14-00.png</t>
  </si>
  <si>
    <t>Very blurred coastal urban scene with shoreline, waves, beachfront, vegetation, and some buildings; no clearly discernible people or vehicles.</t>
  </si>
  <si>
    <t>[{"id": "obj_1", "class": "coastline", "description": "Curved sandy or rocky shoreline with waves breaking along the waterline", "position": "extending from center-left toward right side of image along the mid-to-lower portion", "orientation": "roughly diagonal from left-center to right-center"}, {"id": "obj_2", "class": "water_body", "description": "Large body of water, likely sea or ocean, with visible wave patterns", "position": "occupying upper-right half of the image", "orientation": "surface parallel to horizon at top of frame"}, {"id": "obj_3", "class": "buildings", "description": "Multiple low- to mid-rise buildings near the coast; details indistinguishable due to blur", "position": "clustered in upper-left and mid-left areas near shoreline", "orientation": "aligned roughly parallel to coastline"}, {"id": "obj_4", "class": "vegetation", "description": "Trees or dense greenery near the beachfront and around buildings", "position": "primarily lower half and mid-left of the image", "orientation": "vertical structures emerging from ground"}, {"id": "obj_5", "class": "beach", "description": "Light-colored strip between vegetation/buildings and water, likely sandy beach", "position": "middle of the image extending horizontally along the shore", "orientation": "parallel to coastline"}]</t>
  </si>
  <si>
    <t>Step 1 – Geolocation &amp; Context: The scene appears to be an urban coastal area with buildings close to a sea or ocean and a beach; exact country or region cannot be determined due to heavy blur. This assessment is low-confidence and assumes a temperate or tropical coastal city. Step 2 – Scene Type: Coastal/aquatic environment with natural-urban interface and some residential/urban presence. Step 3 – Description: Aerial or elevated view of coastline with surf, beach, vegetation, and buildings. Step 4 – Object Identification: No individual humans, vehicles, or detailed infrastructure are reliably visible because of the strong blur; only coarse categories (water, shoreline, buildings, trees) can be identified. Step 5 – Anomaly Detection: No specific anomalies can be confirmed; potential hazards like coastal erosion or rough surf cannot be assessed reliably from this low-resolution, blurred frame. Therefore, no explicit abnormal risk is recorded. Step 6 – Risk Assessment: With no clearly detected anomalies or exposed persons, overall contextual risk is not quantifiable from this image and is set to 0. Step 7 – Spatial Localization: Not applicable because no concrete anomaly is identified. Step 8 – Reasoning: The lack of resolved detail (no visible swimmers, beachgoers, vehicles, or damaged infrastructure) prevents confident identification of unusual or hazardous conditions. Step 9 – Overall Safety Impact: The frame alone appears neutral; environmental risks typical of coastal areas (waves, currents, storms) cannot be evaluated from this blurred view, so the situation is treated as effectively safe by available visual evidence.</t>
  </si>
  <si>
    <t>blurred_downsampled/moose2_jpg.rf.006953fd7aed40d7fb3d136b7e55c055.jpg</t>
  </si>
  <si>
    <t>Curving rural roadway with a large animal crossing directly in front of an oncoming car.</t>
  </si>
  <si>
    <t>[{"id": "obj_1", "class": "car", "description": "Single passenger car traveling along a two-lane rural road, approaching the camera.", "position": "right-of-center of the roadway, moving toward foreground on its lane", "orientation": "front of car facing toward bottom of image"}, {"id": "obj_2", "class": "large_animal", "description": "Large hoofed animal (likely a moose or similar) walking laterally across the road in front of the car.", "position": "center-left of road, crossing from left shoulder toward right side", "orientation": "side profile, body roughly perpendicular to roadway direction"}, {"id": "obj_3", "class": "roadway", "description": "Curving paved rural road with marked centerline and grassy shoulders in a natural landscape.", "position": "extends from bottom foreground through middle to background, curving right", "orientation": "road heading from background toward bottom of image"}]</t>
  </si>
  <si>
    <t>[{"id": "anom_1", "related_objects": ["obj_1", "obj_2"], "type": "large_animal_on_active_roadway", "description": "A large animal is crossing an active traffic lane directly in front of an approaching car on a rural curved road.", "risk_score_1_to_10": 8, "risk_target": ["drivers"], "region": {"x_center_norm": 0.45, "y_center_norm": 0.5, "width_norm": 0.55, "height_norm": 0.45}, "reasoning": "The animal is fully within the roadway and very close to the approaching car, which appears to be moving along a curve that may limit visibility and braking distance. Collisions with large wildlife can be severe for occupants and the animal. Rural, forested context makes wildlife presence plausible but still hazardous when the animal is already in the lane ahead of a moving vehicle."}]</t>
  </si>
  <si>
    <t>Location inference (low confidence): likely a rural forested region in North America or Northern Europe based on the apparent moose-like animal, curved two-lane paved road, and surrounding vegetation. Even though wildlife presence is contextually common, the specific moment of active crossing immediately in front of a car constitutes a high-risk situation.</t>
  </si>
  <si>
    <t>blurred_downsampled/0102.png</t>
  </si>
  <si>
    <t>Blurred view of a sidewalk along a street with parked vehicles and adjacent buildings, no clearly visible pedestrians or vehicles in motion.</t>
  </si>
  <si>
    <t>[{"id": "obj_1", "class": "sidewalk", "description": "Paved pedestrian sidewalk extending from foreground to background along the right side of a street", "position": "occupies most of the left and central part of the image, running depth-wise", "orientation": "aligned with street, receding into distance"}, {"id": "obj_2", "class": "road", "description": "Narrow roadway running parallel to the sidewalk with parked vehicles along the curb", "position": "left edge of the image, parallel to sidewalk", "orientation": "receding into background"}, {"id": "obj_3", "class": "parked_vehicle", "description": "One or more parked vehicles along the curb of the road", "position": "left side of the frame adjacent to sidewalk", "orientation": "parallel to sidewalk and road"}, {"id": "obj_4", "class": "building", "description": "Multi-story buildings lining the sidewalk", "position": "right side and background of the image", "orientation": "facades parallel to sidewalk"}, {"id": "obj_5", "class": "vegetation", "description": "Tree or large bush overhanging the sidewalk near mid-background", "position": "upper central area above sidewalk", "orientation": "branches extending over walkway"}, {"id": "obj_6", "class": "fence_wall", "description": "Low wall or fence bordering the sidewalk next to buildings", "position": "right side of sidewalk, mid-height in image", "orientation": "parallel to sidewalk"}]</t>
  </si>
  <si>
    <t>Location/context assessment: low-confidence; generic urban sidewalk scene with mild-climate vegetation and parked cars, could be in many cities. Due to heavy blur, fine details such as pedestrians, obstacles, or signage are not discernible. No clear anomalies or specific hazards can be reliably identified from this frame.</t>
  </si>
  <si>
    <t>blurred_downsampled/0052.jpg</t>
  </si>
  <si>
    <t>Blurred view of a paved roadway or shoulder beside a grassy verge and guardrail; two small dark shapes appear near the edge of the pavement.</t>
  </si>
  <si>
    <t>[{"id": "obj_1", "class": "roadway", "description": "Paved road surface occupying the lower half of the image with a light-colored edge line", "position": "foreground and lower-middle of scene", "orientation": "aligned horizontally across the frame"}, {"id": "obj_2", "class": "roadside_vegetation", "description": "Strip of green grass or low vegetation along the edge of the pavement", "position": "upper-middle band of the scene parallel to road", "orientation": "extends horizontally"}, {"id": "obj_3", "class": "guardrail", "description": "Light-colored horizontal barrier with vertical supports behind the vegetation", "position": "upper part of image, parallel to roadway", "orientation": "horizontal"}, {"id": "obj_4", "class": "unknown_small_objects", "description": "Two small dark elongated shapes near the interface between pavement and vegetation; possibly animals or debris but image is too blurred for identification", "position": "center of image near road edge", "orientation": "roughly aligned with curb/edge"}]</t>
  </si>
  <si>
    <t>The image is highly blurred, preventing reliable identification of the two dark shapes near the road edge. They could be small animals, shadows, or debris, but this cannot be determined with confidence, so no specific anomaly is recorded.</t>
  </si>
  <si>
    <t>blurred_downsampled/0030.jpg</t>
  </si>
  <si>
    <t>Cracked or fractured paved roadway in an open outdoor environment, with no visible vehicles or pedestrians.</t>
  </si>
  <si>
    <t>[{"id": "obj_1", "class": "roadway", "description": "Paved road surface extending into the distance, occupying most of the frame", "position": "dominant foreground and mid-ground across the image", "orientation": "aligned roughly from bottom center toward upper center of the frame"}, {"id": "obj_2", "class": "road_damage", "description": "Large longitudinal crack or fissure running along the road surface", "position": "starting near the bottom center of the frame and extending toward the midline into the distance", "orientation": "roughly aligned with the road direction, with some branching irregularities"}, {"id": "obj_3", "class": "roadside_terrain", "description": "Hilly or raised terrain along one side of the road", "position": "right side background", "orientation": "sloping upward away from the road"}, {"id": "obj_4", "class": "vegetation", "description": "Blurred vegetation or tree mass beside the road", "position": "left side background", "orientation": "upright vertical forms"}]</t>
  </si>
  <si>
    <t>[{"id": "anom_1", "related_objects": ["obj_1", "obj_2"], "type": "severe_road_surface_damage", "description": "A large, deep-looking crack or fissure across the driving path on the paved road, suggesting earthquake or structural failure and making the road potentially impassable.", "risk_score_1_to_10": 8, "risk_target": ["drivers", "motorcyclists", "cyclists", "pedestrians"], "region": {"x_center_norm": 0.5, "y_center_norm": 0.6, "width_norm": 0.6, "height_norm": 0.7}, "reasoning": "The crack is wide and continuous along the lane, which can destabilize vehicles, cause loss of control, or trap wheels. Even at low speeds this type of damage poses a high risk of collision or rollover. No warning cones or barriers are visible, so approaching traffic would have little advance notice."}]</t>
  </si>
  <si>
    <t>Geolocation is low-confidence; only a generic paved rural or open-road environment can be inferred. Image is blurred but the road fissure is still clearly distinguishable as abnormal and hazardous.</t>
  </si>
  <si>
    <t>blurred_downsampled/098.png</t>
  </si>
  <si>
    <t>Nighttime urban sidewalk with a covered two‑wheeled vehicle parked in the middle of the pedestrian path near a tree and benches.</t>
  </si>
  <si>
    <t>[{"id": "obj_1", "class": "motorcycle_or_scooter", "description": "Covered two-wheeled vehicle wrapped in a white cover, positioned lengthwise along the center of the paved sidewalk", "position": "center foreground on sidewalk", "orientation": "facing toward the camera"}, {"id": "obj_2", "class": "sidewalk", "description": "Paved pedestrian walkway extending from foreground to background with different colored paving strip on the left side", "position": "occupies most of image vertically", "orientation": "extends depth-wise away from camera"}, {"id": "obj_3", "class": "tree", "description": "Street tree with trunk emerging from tree pit beside the sidewalk, near the left edge", "position": "left side, mid-foreground", "orientation": "vertical trunk"}, {"id": "obj_4", "class": "bench", "description": "Public bench aligned parallel to the sidewalk edge", "position": "right side, mid-foreground", "orientation": "parallel to sidewalk"}, {"id": "obj_5", "class": "road", "description": "Vehicle roadway adjacent to the sidewalk with some blurred vehicles or street furniture", "position": "left and background", "orientation": "parallel to sidewalk"}, {"id": "obj_6", "class": "street_lighting", "description": "Street lights illuminating the area at night", "position": "upper part of image, background", "orientation": "vertical poles"}]</t>
  </si>
  <si>
    <t>[{"id": "anom_1", "related_objects": ["obj_1", "obj_2"], "type": "vehicle_obstructing_sidewalk", "description": "A covered motorcycle or scooter is parked directly in the middle of the sidewalk, significantly obstructing the pedestrian path and potentially blocking a guidance strip or accessible route.", "risk_score_1_to_10": 5, "risk_target": ["pedestrians"], "region": {"x_center_norm": 0.5, "y_center_norm": 0.55, "width_norm": 0.35, "height_norm": 0.6}, "reasoning": "The two-wheeled vehicle occupies most of the usable width of the sidewalk, forcing pedestrians to divert close to the road edge or around obstacles like the tree and bench. At night, with the vehicle concealed by a light-colored cover, it may be less visible to inattentive or visually impaired pedestrians, increasing collision and trip risks and reducing accessibility."}]</t>
  </si>
  <si>
    <t>Geolocation confidence is low; generic urban setting with typical street furniture and paving. Risk is moderate due to obstruction and nighttime visibility, though no immediate high-speed traffic conflict is visible within the frame.</t>
  </si>
  <si>
    <t>blurred_downsampled/0002.png</t>
  </si>
  <si>
    <t>[{"id": "obj_1", "class": "paved_surface", "description": "Brick or tile-like paved ground covering most of the frame", "position": "extends across the entire scene, presumed walking surface", "orientation": "horizontal plane"}, {"id": "obj_2", "class": "puddle", "description": "Bright reflective patch of water on the paved surface near image center", "position": "roughly central on the walking surface", "orientation": "lying flat on ground"}]</t>
  </si>
  <si>
    <t>[{"id": "anom_1", "related_objects": ["obj_2"], "type": "slip_hazard_on_walkway", "description": "Standing water forming a puddle on what appears to be a pedestrian walkway, creating potential slip risk.", "risk_score_1_to_10": 3, "risk_target": ["pedestrians"], "region": {"x_center_norm": 0.5, "y_center_norm": 0.4, "width_norm": 0.25, "height_norm": 0.2}, "reasoning": "The reflective bright area contrasts with the surrounding pavement and appears to be a puddle on a walkway. Water on walking surfaces can cause slips, especially if unseen or if the surface is smooth. The puddle is not extremely large, so the risk is mild but non-negligible."}]</t>
  </si>
  <si>
    <t>Geolocation and cultural context are highly uncertain due to strong blur; analysis assumes this is a typical pedestrian path or sidewalk. No vehicles or other specific hazards are visible.</t>
  </si>
  <si>
    <t>blurred_downsampled/1005.jpg</t>
  </si>
  <si>
    <t>Blurred view of an outdoor paved path or road with vegetation on the sides and a dark depression or hole-like feature in the foreground surface.</t>
  </si>
  <si>
    <t>[{"id": "obj_1", "class": "road_or_path", "description": "Paved surface extending from foreground to background, likely a small road or pedestrian path", "position": "covers most of the image from bottom to upper center", "orientation": "aligned roughly from bottom edge toward top center of the frame"}, {"id": "obj_2", "class": "vegetation", "description": "Green foliage or plants lining the side of the paved surface", "position": "primarily along the left and right edges of the scene", "orientation": "upright along the sides of the path"}, {"id": "obj_3", "class": "surface_depression", "description": "Dark circular or irregular depression or hole-like feature in the paved surface", "position": "foreground center of the road or path", "orientation": "flat on ground surface"}]</t>
  </si>
  <si>
    <t>[{"id": "anom_1", "related_objects": ["obj_1", "obj_3"], "type": "road_surface_hole_or_pothole", "description": "A prominent dark depression or hole in the middle of the paved surface, which could be a pothole or missing pavement section posing a tripping or vehicle-control hazard.", "risk_score_1_to_10": 6, "risk_target": ["pedestrians", "drivers", "cyclists"], "region": {"x_center_norm": 0.5, "y_center_norm": 0.6, "width_norm": 0.35, "height_norm": 0.25}, "reasoning": "The dark, sharply distinct area on the paved surface in the foreground suggests a hole or significant surface defect. Its location near the center of the path/road means people, bicycles, or light vehicles using this path could unexpectedly step or drive into it, causing trips, falls, or loss of control. The image is blurred, so the exact depth is uncertain, but its prominence justifies treating it as a moderate hazard."}]</t>
  </si>
  <si>
    <t>Confidence is limited by the strong blur; the anomaly is interpreted conservatively as a potential pothole or open hole in the path surface.</t>
  </si>
  <si>
    <t>blurred_downsampled/bullsnake8_jpg.rf.1e11f158ba252f3936aaae564473bad1.jpg</t>
  </si>
  <si>
    <t>A blurred image of a paved surface with a snake-like animal on it and vegetation along one side.</t>
  </si>
  <si>
    <t>[{"id": "obj_1", "class": "animal", "description": "Snake-like animal lying stretched across or along the paved surface near the right side of the frame", "position": "on the roadway or paved path, roughly central-right area", "orientation": "body extended lengthwise along the surface"}, {"id": "obj_2", "class": "road_or_path", "description": "Flat paved gray surface occupying much of the right side of the frame", "position": "right side / center-right of the image", "orientation": "extends vertically through the frame"}, {"id": "obj_3", "class": "vegetation", "description": "Green vegetated strip or field adjacent to the paved surface", "position": "left side of the frame alongside the pavement", "orientation": "runs roughly parallel to the pavement"}]</t>
  </si>
  <si>
    <t>[{"id": "anom_1", "related_objects": ["obj_1", "obj_2"], "type": "animal_on_roadway", "description": "A snake-like animal is present on a paved surface where vehicles, cyclists, or pedestrians may travel.", "risk_score_1_to_10": 4, "risk_target": ["drivers", "pedestrians", "cyclists"], "region": {"x_center_norm": 0.65, "y_center_norm": 0.55, "width_norm": 0.18, "height_norm": 0.3}, "reasoning": "Animals on paved routes can cause drivers or cyclists to swerve and may pose a bite risk to nearby pedestrians, though the exact traffic intensity and animal species are unclear due to blurring. This likely represents a mild to moderate localized hazard rather than an imminent life-threatening situation."}]</t>
  </si>
  <si>
    <t>Geolocation and exact context are uncertain due to heavy blur; assessment assumes a typical rural or semi-rural paved road or path with occasional vehicle or bicycle traffic.</t>
  </si>
  <si>
    <t>blurred_downsampled/normal_156.png</t>
  </si>
  <si>
    <t>Blurred urban street scene with a parked car near a curb, a pole/signpost, and adjacent residential or mixed-use buildings.</t>
  </si>
  <si>
    <t>[{"id": "obj_1", "class": "car", "description": "Dark-colored car parked along the curb on the right side of the image", "position": "right-middle of frame, adjacent to sidewalk or curb", "orientation": "roughly parallel to the street"}, {"id": "obj_2", "class": "pole", "description": "Vertical pole or signpost near the curb in front of the parked car", "position": "central vertical area of image between camera and parked car", "orientation": "upright vertical"}, {"id": "obj_3", "class": "building", "description": "Multi-story residential or mixed-use building in the background", "position": "upper part of image behind vegetation and car", "orientation": "facade facing street"}, {"id": "obj_4", "class": "vegetation", "description": "Bushes or shrubs along the edge of the property behind the car", "position": "mid-background horizontally across the center of image", "orientation": "bordering the sidewalk or property line"}, {"id": "obj_5", "class": "roadway", "description": "Paved street area in the foreground with possible markings at left", "position": "foreground, spanning lower half of image", "orientation": "extending from bottom toward the background"}]</t>
  </si>
  <si>
    <t>Step 1 – Geolocation &amp; Context: The architecture, car type, and street layout suggest a European urban or suburban environment, but the image is highly blurred, so this is low-confidence and approximate. No clear cultural or language markings are visible. Step 2 – Scene Type: Roadway/traffic environment with adjacent residential buildings. Step 3 – Scene Description: Single parked car along a curb, with a signpost or pole and a background building; no visible pedestrians or moving vehicles. Step 5–8 – Anomaly &amp; Risk: Due to strong blur, fine-grained features like exact parking markings, signage content, or small obstructions cannot be reliably discerned. From what is visible, the car appears simply parked along a curb with no obvious encroachment into an intersection or crosswalk, no visible collision, and no pedestrians or other vulnerable users nearby. Thus, no specific anomaly or elevated risk can be confidently identified in this frame.</t>
  </si>
  <si>
    <t>blurred_downsampled/0079.jpg</t>
  </si>
  <si>
    <t>Blurry dashcam-style image on a two-lane roadway with an orange truck ahead crossing or turning and a light-colored car approaching from the opposite direction.</t>
  </si>
  <si>
    <t>[{"id": "obj_1", "class": "truck", "description": "Large orange truck positioned ahead near the center-right of the lane, appearing to be crossing or turning across the roadway", "position": "ahead of camera vehicle, slightly right of lane center", "orientation": "angled roughly perpendicular or oblique to the camera vehicle, partially blocking forward path"}, {"id": "obj_2", "class": "car", "description": "Light-colored passenger car on the left side of the frame in the opposing lane", "position": "ahead of camera vehicle, left side of roadway in oncoming lane", "orientation": "facing toward the camera vehicle, moving or positioned in opposite direction of travel"}, {"id": "obj_3", "class": "roadway", "description": "Two-lane paved rural or peri-urban road with open shoulders and surrounding fields or low vegetation", "position": "extends from bottom foreground to middle of image", "orientation": "aligned roughly with camera direction"}]</t>
  </si>
  <si>
    <t>[{"id": "anom_1", "related_objects": ["obj_1", "obj_2"], "type": "potential_vehicle_conflict", "description": "The orange truck appears to be crossing or turning across the lane while an oncoming car is present, creating a potential collision risk in the middle of the roadway.", "risk_score_1_to_10": 6, "risk_target": ["drivers"], "region": {"x_center_norm": 0.55, "y_center_norm": 0.48, "width_norm": 0.6, "height_norm": 0.35}, "reasoning": "From the dashcam perspective, the truck is angled across the likely path of travel, suggesting it may be turning or obstructing the lane. An oncoming car is visible in the opposite lane, indicating cross-traffic and limited maneuvering space. Though the blur prevents precise speed estimation, this configuration is atypical for free-flowing traffic and can easily lead to a side-impact or head-on collision if distances are short or braking is insufficient."}]</t>
  </si>
  <si>
    <t>Blurriness limits certainty about exact positions and motions, so the risk rating is moderate and somewhat conservative.</t>
  </si>
  <si>
    <t>blurred_downsampled/045.png</t>
  </si>
  <si>
    <t>Nighttime view of a well-lit, paved sidewalk running alongside a road with streetlights, vegetation, and a wall or fence; no clear pedestrians or vehicles visible due to blur.</t>
  </si>
  <si>
    <t>[{"id": "obj_1", "class": "sidewalk", "description": "Paved pedestrian walkway extending from foreground to background", "position": "center and lower part of image, running longitudinally", "orientation": "aligned with image depth, receding into the distance"}, {"id": "obj_2", "class": "road", "description": "Adjacent roadway running parallel to the sidewalk, separated by curb or verge", "position": "left side of the scene, running into the distance", "orientation": "parallel to sidewalk"}, {"id": "obj_3", "class": "streetlights", "description": "Multiple streetlights illuminating sidewalk and road", "position": "upper central area along the line between sidewalk and road", "orientation": "upright, spaced along the path"}, {"id": "obj_4", "class": "vegetation", "description": "Trees and shrubs along the left and right sides of the path", "position": "left edge (overhanging) and right side near wall", "orientation": "static roadside greenery"}, {"id": "obj_5", "class": "wall_or_fence", "description": "Long wall with fencing or panels along the right side of the sidewalk", "position": "right side of image running into the distance", "orientation": "parallel to sidewalk"}]</t>
  </si>
  <si>
    <t>Step 1 – Geolocation &amp; Context: The scene appears to be an urban or suburban street in a relatively warm climate, inferred from the type of vegetation and night lighting. The exact country or region cannot be determined from this blurred frame; confidence is low. The design (paved walkway, streetlighting, boundary wall) is consistent with many modern cities worldwide. Step 2 – Scene Type: Sidewalk/pedestrian zone adjacent to a roadway in a mixed urban or residential environment. Step 3 – Description: The image shows a straight, well-maintained pedestrian sidewalk at night, with brick or tile paving, bordered by a curb and planted strip, a parallel road to the left, and a tall wall or fence to the right. Several streetlights illuminate the area. No definite people, vehicles, or specific hazards are visible, partly due to heavy blur. Step 4 – Object Identification: Sidewalk, road, streetlights, vegetation, and boundary wall are clearly inferable. No clearly identifiable humans, vehicles, or animals can be confirmed. Step 5 – Anomaly Detection: There are no clear anomalies relative to a typical night sidewalk scene. Illumination appears adequate; there is no visible damage, flooding, or obstruction. The blur is an imaging artifact, not an in-world risk. Step 6 – Risk Assessment: Since no specific anomaly is visible, no targeted risk beyond normal night-time urban walking conditions is identified. Step 7 – Spatial Localization: Not applicable because no anomaly is detected. Step 8 – Reasoning: Given the limited clarity, I avoid inferring specific hazards like potholes, debris, or hidden persons; nothing stands out as abnormal for a night sidewalk adjacent to a road. Step 9 – Safety Summary: The environment appears generally safe and orderly with standard infrastructure; overall risk corresponds to routine nighttime walking conditions rather than a specific active hazard.</t>
  </si>
  <si>
    <t>blurred_downsampled/1111.jpg</t>
  </si>
  <si>
    <t>Urban street surface with an open manhole and a single traffic cone placed nearby.</t>
  </si>
  <si>
    <t>[{"id": "obj_1", "class": "open_manhole", "description": "Circular opening in the road surface with its cover lifted upright beside it", "position": "lower-left / center-left of the roadway surface", "orientation": "manhole cover appears tilted vertically adjacent to the opening"}, {"id": "obj_2", "class": "traffic_cone", "description": "Orange traffic cone placed near the open manhole", "position": "center-right of the road, just to the right of the manhole opening", "orientation": "upright"}, {"id": "obj_3", "class": "road_surface", "description": "Paved roadway or paved surface area surrounding the manhole", "position": "occupies most of the frame foreground and mid-ground", "orientation": "horizontal ground plane"}, {"id": "obj_4", "class": "background_area", "description": "Greenish blurred background suggesting vegetation or roadside area beyond the pavement", "position": "upper part of the image", "orientation": "background beyond the road"}]</t>
  </si>
  <si>
    <t>[{"id": "anom_1", "related_objects": ["obj_1", "obj_2", "obj_3"], "type": "insufficiently_marked_open_manhole", "description": "Open manhole in the roadway marked only by a single nearby cone, posing a fall and vehicle hazard.", "risk_score_1_to_10": 8, "risk_target": ["pedestrians", "drivers", "cyclists"], "region": {"x_center_norm": 0.45, "y_center_norm": 0.6, "width_norm": 0.6, "height_norm": 0.6}, "reasoning": "An open manhole in a driving or walking path is a significant hazard. The cover is lifted and the hole is exposed, yet there appears to be only one cone and no robust barrier or clear signage. Road users, especially at night or in low visibility, could drive or step into the opening, causing serious injury or damage. Even though there is some marking (the cone), the risk remains high because the opening is in the main paved surface."}]</t>
  </si>
  <si>
    <t>Location is uncertain due to blur and lack of signage; assumed generic urban roadway. Risk rating is conservative given the severe consequences of a fall into an open manhole.</t>
  </si>
  <si>
    <t>blurred_downsampled/0003.png</t>
  </si>
  <si>
    <t>Narrow street or driveway with closely parked vehicles, including a white car in the foreground and another vehicle ahead, leaving very limited passage space.</t>
  </si>
  <si>
    <t>[{"id": "obj_1", "class": "car", "description": "White car very close on the right side of the frame, occupying much of the roadway width", "position": "foreground right, aligned along the road edge", "orientation": "facing away from the camera along the road"}, {"id": "obj_2", "class": "car", "description": "Light-colored vehicle further ahead near the center, partially blocking the remaining roadway", "position": "mid-ground center", "orientation": "appears roughly aligned with the roadway"}, {"id": "obj_3", "class": "roadway", "description": "Very narrow paved lane between a hedge/vegetation wall on the left and parked cars on the right", "position": "center of image between vegetation and vehicles", "orientation": "extends from bottom toward top of image"}, {"id": "obj_4", "class": "vegetation", "description": "Tall dense hedge or vegetation wall on the left side forming a hard boundary to the lane", "position": "left side vertical strip", "orientation": "parallel to roadway"}]</t>
  </si>
  <si>
    <t>[{"id": "anom_1", "related_objects": ["obj_1", "obj_2", "obj_3"], "type": "blocked_or_constricted_lane", "description": "Parked or stopped vehicles leave a very narrow passage, effectively constricting or blocking the lane for other vehicles and potentially pedestrians.", "risk_score_1_to_10": 6, "risk_target": ["drivers", "pedestrians", "cyclists"], "region": {"x_center_norm": 0.6, "y_center_norm": 0.55, "width_norm": 0.7, "height_norm": 0.8}, "reasoning": "The paved space between the hedge and the parked cars is extremely narrow, leaving little room for two-way traffic or for pedestrians to pass safely. Any oncoming vehicle or person would have limited escape options due to hard boundaries on both sides, raising collision and squeeze risks."}]</t>
  </si>
  <si>
    <t>Image is heavily blurred, so details like markings, exact curb presence, or pedestrians are uncertain; assessment is based on overall shapes and layout. Geographic context is low-confidence but consistent with a residential or small-urban lane in a temperate region.</t>
  </si>
  <si>
    <t>blurred_downsampled/bison1_jpg.rf.ad693332c058930cdb93970c867d6c56.jpg</t>
  </si>
  <si>
    <t>Large wild animals, likely bison, walking along a snowy roadway in a natural-urban interface.</t>
  </si>
  <si>
    <t>[{"id": "obj_1", "class": "large_animal", "description": "Single large animal in the foreground, centered, walking toward the camera along a snowy road surface.", "position": "center foreground on roadway", "orientation": "facing toward camera"}, {"id": "obj_2", "class": "large_animal", "description": "Large animal in the left mid-background following the lead animal on the same snowy road.", "position": "left mid-background on roadway", "orientation": "facing toward camera"}, {"id": "obj_3", "class": "large_animal", "description": "Large animal in the mid-background near center-right following the lead animal.", "position": "center-right mid-background on roadway", "orientation": "facing toward camera"}, {"id": "obj_4", "class": "large_animal", "description": "Another large animal in the far background, partially visible on the snowy road.", "position": "left background on roadway", "orientation": "facing toward camera"}, {"id": "obj_5", "class": "roadway", "description": "Snow-covered road or paved track extending into the distance.", "position": "occupies lower and central area of image", "orientation": "aligned front-to-back in scene"}]</t>
  </si>
  <si>
    <t>[{"id": "anom_1", "related_objects": ["obj_1", "obj_2", "obj_3", "obj_4", "obj_5"], "type": "large_wild_animals_on_roadway", "description": "Multiple large wild animals are walking along the middle of a snowy roadway, posing a collision risk and potential harm to both animals and any vehicles or pedestrians.", "risk_score_1_to_10": 7, "risk_target": ["drivers", "vehicle_occupants", "pedestrians"], "region": {"x_center_norm": 0.5, "y_center_norm": 0.55, "width_norm": 0.8, "height_norm": 0.7}, "reasoning": "The animals occupy the travel lane of a road, and snow suggests reduced traction and longer stopping distances. In a natural-urban interface such as a park or rural highway, this creates a significant risk of collision or sudden evasive maneuvers. Even without visible vehicles, this configuration is hazardous if traffic is present or could arrive unexpectedly."}]</t>
  </si>
  <si>
    <t>Geolocation and species are inferred at low to medium confidence due to heavy blur, but the presence of large ungulate-like animals on a snowy road is clear enough to assess as a notable safety risk.</t>
  </si>
  <si>
    <t>blurred_downsampled/0092.jpg</t>
  </si>
  <si>
    <t>Curving rural roadway with a large animal crossing in front of an approaching car.</t>
  </si>
  <si>
    <t>[{"id": "obj_1", "class": "car", "description": "Single passenger car traveling along a two-lane rural road, approaching from the background toward the camera.", "position": "right half of the lane on the curved road, mid-right of image", "orientation": "moving forward along the road toward the foreground"}, {"id": "obj_2", "class": "large_animal", "description": "Large hoofed animal (likely deer/moose-type) walking across the roadway in front of the car.", "position": "center-left of the road, crossing from left shoulder toward the right", "orientation": "moving laterally across the road, broadside to the car"}, {"id": "obj_3", "class": "roadway", "description": "Paved two-lane rural road with centerline markings, curving through a natural landscape.", "position": "extends from foreground bottom toward upper right background", "orientation": "curving from bottom right toward upper left/right"}, {"id": "obj_4", "class": "vegetation", "description": "Grassy roadside and treed or shrubby background typical of a rural or forested region.", "position": "along both sides of the road", "orientation": "static environment"}]</t>
  </si>
  <si>
    <t>[{"id": "anom_1", "related_objects": ["obj_1", "obj_2"], "type": "animal_on_roadway", "description": "A large animal is crossing directly in front of an oncoming car on a rural road, creating a collision hazard.", "risk_score_1_to_10": 8, "risk_target": ["drivers", "vehicle_occupants", "general_civilians"], "region": {"x_center_norm": 0.46, "y_center_norm": 0.55, "width_norm": 0.5, "height_norm": 0.45}, "reasoning": "The animal is occupying the travel lane while the car is approaching along a curve, reducing sight distance and reaction time. Given the large size of the animal relative to the car, any collision could cause severe damage and injury. Rural contexts do have animal crossings, but an animal standing or walking in the lane immediately ahead of a moving vehicle is still a high-risk situation."}]</t>
  </si>
  <si>
    <t>Step 1 – Geolocation &amp; Context: Likely a rural or forested region in North America or a similar temperate area, inferred from the curving paved road, vegetation, and presence of a large ungulate; confidence medium due to blur. Step 2 – Scene Type: roadway/traffic environment, natural-urban interface. The dominant risk is potential vehicle–animal collision affecting the driver and occupants of the car.</t>
  </si>
  <si>
    <t>blurred_downsampled/pexels-daciana-cristina-visan-2149801141-31349473.jpg</t>
  </si>
  <si>
    <t>Narrow historic alleyway with a motorcyclist passing near cows lying in the middle of the lane, flanked by stone buildings and parked motorcycles.</t>
  </si>
  <si>
    <t>[{"id": "obj_1", "class": "motorcycle", "description": "Ridden motorcycle with a person on it moving along the alley toward the camera, slightly left of center", "position": "center-left of roadway", "orientation": "rider traveling roughly toward foreground"}, {"id": "obj_2", "class": "pedestrian", "description": "Person riding the motorcycle in the alley", "position": "center-left of roadway seated on obj_1", "orientation": "facing toward camera"}, {"id": "obj_3", "class": "animal", "description": "Large cow-like animal lying on the ground in the middle-right of alley", "position": "center-right of roadway, partly occupying lane", "orientation": "body aligned lengthwise with alley"}, {"id": "obj_4", "class": "animal", "description": "Second cow-like animal lying close to the first in the middle-right of alley", "position": "slightly behind and to the right of obj_3, occupying lane", "orientation": "body aligned lengthwise with alley"}, {"id": "obj_5", "class": "motorcycle", "description": "Parked motorcycles lined along the alley sides", "position": "both sides of roadway, mainly mid- to background", "orientation": "parallel to building walls"}, {"id": "obj_6", "class": "building", "description": "Stone buildings with arches and balconies on both sides of narrow alley", "position": "left and right edges of scene", "orientation": "aligned along alley"}]</t>
  </si>
  <si>
    <t>[{"id": "anom_1", "related_objects": ["obj_1", "obj_2", "obj_3", "obj_4"], "type": "animals_in_traffic_path", "description": "Two large cows lying in the middle of a narrow alley where motorcycles and possibly pedestrians travel, significantly obstructing the lane.", "risk_score_1_to_10": 6, "risk_target": ["drivers", "pedestrians"], "region": {"x_center_norm": 0.63, "y_center_norm": 0.55, "width_norm": 0.3, "height_norm": 0.3}, "reasoning": "The alley is narrow with limited maneuvering space; cows lying in the travel path force motorcyclists to pass very close or brake suddenly, increasing collision and fall risk. In many South Asian old-city contexts this is common, so risk is moderate rather than extreme, but still notable for riders and nearby pedestrians."}]</t>
  </si>
  <si>
    <t>Geographic context is inferred as a historic alley in South Asia (possibly India) based on sandstone architecture and presence of free-roaming cows with motorcycles; confidence medium. Image blur limits fine detail, but object categories are still distinguishable.</t>
  </si>
  <si>
    <t>blurred_downsampled/0074.png</t>
  </si>
  <si>
    <t>Heavily blurred coastal scene with waves breaking on a beach next to an urbanized shoreline with trees and buildings.</t>
  </si>
  <si>
    <t>[{"id": "obj_1", "class": "coastline", "description": "Sandy or light-colored beach stretching from bottom center toward upper left along the waterline", "position": "central horizontal band between urban area and sea", "orientation": "aligned diagonally from lower center to upper left"}, {"id": "obj_2", "class": "sea", "description": "Large body of water with visible waves and whitecaps", "position": "right and upper portions of the image adjacent to the beach", "orientation": "waves approaching roughly perpendicular to shore"}, {"id": "obj_3", "class": "buildings", "description": "Cluster of urban buildings or structures near coastline", "position": "left side, especially upper left corner along the shore", "orientation": "facing coast"}, {"id": "obj_4", "class": "trees", "description": "Row of tall trees (likely palms) along the coastal urban strip", "position": "lower half of image paralleling the beach", "orientation": "vertical trunks"}]</t>
  </si>
  <si>
    <t>Step 1 – Geolocation &amp; context: The scene appears to be a coastal urban environment, possibly a warm-climate seafront with palm-like trees and mid-rise buildings. Due to heavy blur and lack of readable signage, location inference is low-confidence and only general (urban beachfront, likely temperate or subtropical). Step 2 – Scene type: Coastal/aquatic environment and natural-urban interface with adjacent residential/mixed urban area. Step 3 – Description: Waves are visibly breaking onto the shore; however, resolution is too low to distinguish people, vehicles, or specific infrastructure. Step 4 – Object identification: Only large-scale elements (sea, beach, buildings, trees) are reliably visible. Step 5 – Anomaly detection: No clearly identifiable anomalies such as flooding onto roads, visible storm surge impacting structures, or people in hazardous surf can be confirmed because the image is too blurred to discern such details. Waves appear somewhat rough but this alone, without visible human activity or evident damage, is not sufficient to classify as an abnormal risk. Therefore, no specific anomaly is recorded. Step 6 – Risk assessment: With no definite anomalies or exposed groups detected, the risk score is set to 0. Step 7 – Spatial localization is not applicable as there are no anomalies. Step 8 – Reasoning: Any stronger claim about dangerous surf, coastal flooding, or infrastructure impact would require resolving individuals, vehicles, or overtopping water, none of which can be reliably seen. Step 9 – Overall safety impact: Based on observable evidence alone, the situation is treated as generally safe, with no clearly identifiable immediate hazards.</t>
  </si>
  <si>
    <t>blurred_downsampled/0007.png</t>
  </si>
  <si>
    <t>Nighttime urban intersection with a marked crosswalk, two pedestrians crossing, and a white vehicle stopped or moving slowly on the right.</t>
  </si>
  <si>
    <t>[{"id": "obj_1", "class": "crosswalk", "description": "Wide zebra-style pedestrian crosswalk extending from foreground to mid-scene", "position": "center foreground spanning left to right", "orientation": "perpendicular to viewer, across the roadway"}, {"id": "obj_2", "class": "pedestrian", "description": "Person walking in the crosswalk slightly left of center", "position": "mid-scene, slightly left of image center on the crosswalk", "orientation": "facing away from camera, moving further into intersection"}, {"id": "obj_3", "class": "pedestrian", "description": "Person walking in the crosswalk slightly right of center", "position": "mid-scene, slightly right of image center on the crosswalk", "orientation": "facing away from camera, moving further into intersection"}, {"id": "obj_4", "class": "car", "description": "Light-colored vehicle at or near the intersection on the right side of the road", "position": "right mid-scene, near crosswalk edge", "orientation": "oriented roughly parallel to the roadway"}, {"id": "obj_5", "class": "traffic_light", "description": "Green traffic signal visible near left side of intersection", "position": "upper-left quadrant near intersection corner", "orientation": "mounted on vertical pole controlling traffic through intersection"}, {"id": "obj_6", "class": "trees", "description": "Trees and vegetation lining the background beyond the intersection", "position": "background, spanning left to center", "orientation": "stationary"}]</t>
  </si>
  <si>
    <t>Step 1 – Location is likely an urban area in a developed country with standard zebra crosswalks and traffic lights; confidence is low due to blur and lack of readable signage. Step 2 – Scene type: roadway/traffic environment and sidewalk/pedestrian zone in mixed urban context. Step 3 – Two pedestrians appear to be legally crossing at a marked crosswalk at night with a green traffic signal visible, and a vehicle is positioned to the right, presumably yielding or waiting. Step 4 – All identified objects are typical for this context. Step 5 – No clear anomalies such as vehicles encroaching dangerously on the crosswalk, pedestrians outside the crosswalk, or obvious infrastructure damage can be confirmed from this blurred image. Lighting and crosswalk markings appear adequate. Step 8 – Because the scene shows a normal nighttime crossing with apparent signalization, any potential risks are routine and not abnormal compared to typical urban intersections; thus, no specific anomaly is recorded.</t>
  </si>
  <si>
    <t>blurred_downsampled/0009.png</t>
  </si>
  <si>
    <t>Nighttime urban sidewalk with large discarded cardboard boxes and packing materials partially blocking the walkway near a building entrance and fire hydrant.</t>
  </si>
  <si>
    <t>[{"id": "obj_1", "class": "sidewalk", "description": "Paved pedestrian sidewalk occupying the lower part of the image", "position": "bottom half of frame, extending horizontally", "orientation": "aligned roughly left-right"}, {"id": "obj_2", "class": "building_entrance", "description": "Lit doorway or entrance to a building", "position": "right-center background", "orientation": "faces toward the sidewalk"}, {"id": "obj_3", "class": "vegetation", "description": "Bushes or shrubs planted in a small bed beside the sidewalk", "position": "left-center background", "orientation": "stationary"}, {"id": "obj_4", "class": "fire_hydrant_or_pole", "description": "Red vertical street fixture resembling a fire hydrant or standpipe beside the sidewalk", "position": "right side foreground", "orientation": "vertical"}, {"id": "obj_5", "class": "cardboard_box", "description": "Large flattened or partially open cardboard box lying on the sidewalk", "position": "right-lower quadrant, extending from center toward bottom-right", "orientation": "slanted from mid-right downward toward bottom-center"}, {"id": "obj_6", "class": "plastic_packaging", "description": "Loose white plastic or packing material spread on the sidewalk near the cardboard box", "position": "lower-center foreground, adjacent to obj_5", "orientation": "irregularly spread"}, {"id": "obj_7", "class": "discarded_items", "description": "Additional boxes or waste items stacked near shrubs", "position": "left-center and mid-left background at edge of sidewalk", "orientation": "stacked/leaning"}]</t>
  </si>
  <si>
    <t>[{"id": "anom_1", "related_objects": ["obj_5", "obj_6", "obj_7"], "type": "obstructed_sidewalk_from_debris", "description": "Large cardboard box and loose plastic packaging are lying across a significant portion of the pedestrian sidewalk, creating trip hazards and narrowing the available walking space.", "risk_score_1_to_10": 5, "risk_target": ["pedestrians"], "region": {"x_center_norm": 0.48, "y_center_norm": 0.72, "width_norm": 0.65, "height_norm": 0.5}, "reasoning": "On an urban sidewalk, pedestrians are expected to have a clear, even walking surface. The large box and scattered plastic partially block the pathway and may be difficult to see clearly at night, increasing the likelihood of trips or slips, especially for elderly individuals or those with visual impairments or strollers. While hazardous, it is not an immediately life-threatening condition, so risk is moderate."}, {"id": "anom_2", "related_objects": ["obj_4", "obj_5"], "type": "potential_access_block_to_fire_fixture", "description": "The large cardboard box is positioned very close to what appears to be a fire hydrant or standpipe, which could hinder rapid access in an emergency.", "risk_score_1_to_10": 4, "risk_target": ["general_civilians", "emergency_services"], "region": {"x_center_norm": 0.82, "y_center_norm": 0.63, "width_norm": 0.3, "height_norm": 0.45}, "reasoning": "Fire hydrants and similar fixtures should remain unobstructed. While the box does not clearly cover the fixture, its proximity could slow emergency response or be pushed against it. This is a contextual, secondary safety concern with mild to moderate severity."}]</t>
  </si>
  <si>
    <t>Geolocation and cultural context are low-confidence; this appears to be a generic urban sidewalk in a temperate region at night. Risk scoring assumes a typical city with moderate pedestrian use.</t>
  </si>
  <si>
    <t>blurred_downsampled/103.jpg</t>
  </si>
  <si>
    <t>Residential urban street with a severely damaged roadway and a raised manhole cover surrounded by a large pothole in the lane.</t>
  </si>
  <si>
    <t>[{"id": "obj_1", "class": "roadway", "description": "Main paved street running from foreground to background through a residential area", "position": "occupies most of the image, foreground to horizon", "orientation": "aligned roughly bottom-to-top of the frame"}, {"id": "obj_2", "class": "manhole_cover", "description": "Circular manhole cover protruding above the surrounding damaged pavement", "position": "foreground, slightly left of center in the traffic lane", "orientation": "horizontal surface, top visible"}, {"id": "obj_3", "class": "pothole", "description": "Large irregular pothole or excavated area around the manhole cover", "position": "foreground, surrounding obj_2 within the travel lane", "orientation": "depression in road surface"}, {"id": "obj_4", "class": "residential_buildings", "description": "Houses and small buildings along both sides of the street", "position": "left and right sides of image, midground", "orientation": "facing the street"}, {"id": "obj_5", "class": "utility_poles", "description": "Series of utility poles with overhead cables along the street", "position": "both sides of the street, extending into background", "orientation": "vertical poles with cables running along road"}, {"id": "obj_6", "class": "parked_or_distant_vehicles", "description": "A few small, distant vehicles further up the street", "position": "background near the center of the roadway", "orientation": "aligned with road direction"}]</t>
  </si>
  <si>
    <t>[{"id": "anom_1", "related_objects": ["obj_2", "obj_3"], "type": "raised_manhole_and_severe_road_damage", "description": "The manhole cover is significantly raised relative to the roadway and is surrounded by a large pothole or eroded pavement, creating a sharp vertical edge and unstable surface in the travel lane.", "risk_score_1_to_10": 7, "risk_target": ["drivers", "cyclists", "motorcyclists", "pedestrians"], "region": {"x_center_norm": 0.45, "y_center_norm": 0.72, "width_norm": 0.4, "height_norm": 0.35}, "reasoning": "In a typical urban residential street, manhole covers should be flush with the road surface and surrounded by intact pavement. Here the cover appears elevated with a deep surrounding depression. This can cause vehicle damage, loss of control for cars, and is especially dangerous for two-wheeled vehicles. Pedestrians crossing the street could also trip or twist an ankle. The defect occupies the path where vehicles would normally travel, making it a high but not yet catastrophic risk."}]</t>
  </si>
  <si>
    <t>Geolocation is low-confidence, but visual cues (detached houses, overhead utility lines, asphalt road, possible snow remnants) suggest a North American or similar temperate residential area. The primary safety concern is the defective road surface around the manhole in the active roadway.</t>
  </si>
  <si>
    <t>blurred_downsampled/0027.jpg</t>
  </si>
  <si>
    <t>Rural or suburban road with a large pothole in the foreground and a car approaching in the background.</t>
  </si>
  <si>
    <t>[{"id": "obj_1", "class": "roadway", "description": "Paved two-lane road surface stretching from foreground to background", "position": "extends across the image, main surface under the car and pothole", "orientation": "aligned roughly from bottom-left toward top-right"}, {"id": "obj_2", "class": "pothole", "description": "Large water-filled pothole on the road surface in the foreground", "position": "lower-left to center-left foreground of the road", "orientation": "elongated along the direction of travel"}, {"id": "obj_3", "class": "car", "description": "Single car on the road in the background, approaching the camera", "position": "upper-center of the image on the roadway", "orientation": "facing toward the camera along the road"}, {"id": "obj_4", "class": "roadside verge", "description": "Unpaved grassy/dirt shoulder along the side of the road", "position": "right and lower-right edge of the scene", "orientation": "parallel to the road"}]</t>
  </si>
  <si>
    <t>[{"id": "anom_1", "related_objects": ["obj_1", "obj_2", "obj_3"], "type": "road_surface_damage_pothole", "description": "A large, water-filled pothole occupies a significant portion of the lane on a wet road surface where a car is approaching.", "risk_score_1_to_10": 6, "risk_target": ["drivers"], "region": {"x_center_norm": 0.33, "y_center_norm": 0.63, "width_norm": 0.35, "height_norm": 0.35}, "reasoning": "The pothole is large relative to the lane width and appears filled with water, which can conceal its true depth. On a wet road, striking such a pothole can damage tires or suspension and may cause loss of control, especially if the driver swerves late to avoid it. While not an imminent collision risk in this single frame, it represents a clear moderate hazard to vehicles."}]</t>
  </si>
  <si>
    <t>Geolocation confidence is low; the road and vehicle style suggest a temperate-region rural or suburban environment, but exact country cannot be determined. Risk assessment assumes typical passenger car speeds on a narrow two-lane road.</t>
  </si>
  <si>
    <t>blurred_downsampled/normal_111.png</t>
  </si>
  <si>
    <t>Urban sidewalk alongside a street with a parked car and traffic signs; no clear hazards visible due to heavy blur.</t>
  </si>
  <si>
    <t>[{"id": "obj_1", "class": "sidewalk", "description": "Paved pedestrian sidewalk extending from bottom center into the distance", "position": "foreground and center of scene", "orientation": "aligned roughly bottom-to-top of image"}, {"id": "obj_2", "class": "car", "description": "Single dark-colored car parked or stopped beside the sidewalk", "position": "mid-right of scene adjacent to sidewalk", "orientation": "roughly parallel to sidewalk and road"}, {"id": "obj_3", "class": "road", "description": "Portion of a roadway running alongside the sidewalk", "position": "left side of the scene", "orientation": "parallel to the sidewalk, bottom-to-top of image"}, {"id": "obj_4", "class": "traffic_sign", "description": "Blurred vertical sign on pole near intersection or crossing", "position": "upper-left area near edge between road and sidewalk", "orientation": "upright on pole"}, {"id": "obj_5", "class": "vegetation", "description": "Bushes or small plants along the right edge of the sidewalk", "position": "right edge of scene", "orientation": "bordering the walkway"}, {"id": "obj_6", "class": "building", "description": "Multi-story residential or mixed-use building in the background", "position": "upper portion of scene behind street and vegetation", "orientation": "façade roughly facing the street"}]</t>
  </si>
  <si>
    <t>Step 1 – Likely an urban or suburban environment in a temperate or Mediterranean region, inferred from sidewalk paving, street layout, and vegetation; confidence low due to strong blur and lack of legible signs. No pedestrians, cyclists, or obvious obstructions are clearly visible on the sidewalk or road, and the parked car appears to be in a normal roadside position. Because of the heavy blur, smaller hazards (e.g., uneven pavement, small obstacles) cannot be ruled out, but no definite anomaly can be identified from the available visual evidence.</t>
  </si>
  <si>
    <t>blurred_downsampled/0076.png</t>
  </si>
  <si>
    <t>Heavily blurred aerial or elevated view of a coastal urban area with beachfront, waves, and buildings; no clearly visible people or vehicles.</t>
  </si>
  <si>
    <t>[{"id": "obj_1", "class": "coastline", "description": "Sandy beach stretching horizontally along the middle-right of the image between buildings and sea", "position": "central and right side of scene along the shore", "orientation": "parallel to waterline"}, {"id": "obj_2", "class": "sea", "description": "Rough water with visible white surf and waves breaking toward the shore", "position": "right half and upper-right edge of the scene", "orientation": "waves approaching shore from right toward left"}, {"id": "obj_3", "class": "buildings", "description": "Cluster of low- to mid-rise urban buildings adjacent to the beachfront", "position": "left and lower-left portions near the coast", "orientation": "aligned generally along shoreline"}, {"id": "obj_4", "class": "vegetation", "description": "Row of tall trees, likely palms, between buildings and the beach", "position": "lower central area along edge of beach", "orientation": "upright vertical trunks"}]</t>
  </si>
  <si>
    <t>Step 1 – Geolocation &amp; context: The scene appears to be a tropical or subtropical coastal city, inferred from palm-like trees, sandy beach, and urban buildings by the shore. Exact country or region is highly uncertain due to extreme blur; confidence is low. Step 2 – Scene type: Coastal/aquatic environment with natural-urban interface and adjacent residential/mixed urban structures. Step 3–5 – The image is too blurred to distinguish any specific humans, vehicles, or detailed infrastructure conditions, so no concrete anomalies (such as swimmers in rough surf or damaged structures) can be reliably identified. Any assessment of surf danger or human exposure would be speculative; thus no explicit abnormal risk is recorded.</t>
  </si>
  <si>
    <t>blurred_downsampled/C_000001_31.jpg</t>
  </si>
  <si>
    <t>Very blurry dashcam-style image at an urban intersection with a dark vehicle crossing close in front of the camera vehicle.</t>
  </si>
  <si>
    <t>[{"id": "obj_1", "class": "car", "description": "Dark-colored car crossing laterally in front of the camera near the center of the frame", "position": "center of roadway directly ahead of camera vehicle", "orientation": "moving from the camera’s right to left across the field of view"}, {"id": "obj_2", "class": "car", "description": "Implied camera-mounted vehicle from which the scene is viewed", "position": "foreground bottom, aligned with lane approaching the intersection", "orientation": "facing toward the intersection"}, {"id": "obj_3", "class": "roadway", "description": "Urban intersection with paved road and bordering sidewalks/buildings", "position": "extends from foreground bottom to mid and background of image", "orientation": "camera vehicle is on a through lane approaching the intersection"}]</t>
  </si>
  <si>
    <t>[{"id": "anom_1", "related_objects": ["obj_1", "obj_2"], "type": "potential collision / near-cross-traffic conflict", "description": "A car is crossing directly in front of the camera vehicle at very close range, suggesting a possible failure to yield or red-light running and indicating an imminent or near collision scenario.", "risk_score_1_to_10": 8, "risk_target": ["drivers"], "region": {"x_center_norm": 0.5, "y_center_norm": 0.55, "width_norm": 0.5, "height_norm": 0.4}, "reasoning": "The crossing car occupies the central field of view and appears very close to the camera vehicle on an intersection, meaning both vehicles’ paths intersect. Even with the blur obscuring exact signals and markings, such close lateral crossing in front of a moving dashcam vehicle is abnormal and implies high crash risk."}]</t>
  </si>
  <si>
    <t>Location context is highly uncertain due to heavy blur; assumed generic urban intersection. No pedestrians or clear signage can be reliably identified.</t>
  </si>
  <si>
    <t>blurred_downsampled/531.jpg</t>
  </si>
  <si>
    <t>Heavily blurred view of a two-lane paved road with double yellow center lines and vegetation on both sides.</t>
  </si>
  <si>
    <t>[{"id": "obj_1", "class": "roadway", "description": "Paved two-lane road extending into the distance with faint double yellow center lines", "position": "occupies most of the frame from bottom foreground to center distance", "orientation": "aligned roughly vertically in the image, receding away from the viewer"}, {"id": "obj_2", "class": "road_markings", "description": "Double yellow center line marking separating opposing traffic directions", "position": "center of the roadway running from bottom center toward upper center", "orientation": "vertical, along road direction"}, {"id": "obj_3", "class": "vegetation", "description": "Trees or dense greenery along both sides of the road", "position": "left and right edges of the image, framing the road", "orientation": "upright along the road sides"}]</t>
  </si>
  <si>
    <t>The image is extremely blurred, limiting detection of specific hazards such as vehicles, pedestrians, or road damage. Within what can be seen, no clear anomaly or abnormal risk is identifiable.</t>
  </si>
  <si>
    <t>blurred_downsampled/0019.jpg</t>
  </si>
  <si>
    <t>Very blurred view of a large circular opening in the ground with a hose or pipe going into it, likely related to drainage or septic maintenance, in an outdoor built environment.</t>
  </si>
  <si>
    <t>[{"id": "obj_1", "class": "infrastructure_opening", "description": "Large circular ground-level opening or tank access with green rim, open to the air", "position": "center foreground", "orientation": "horizontal on ground surface"}, {"id": "obj_2", "class": "hose_or_pipe", "description": "Thick hose or pipe extending downward into the circular opening", "position": "entering from upper-left toward center", "orientation": "curved, sloping down into opening"}, {"id": "obj_3", "class": "ground_surface", "description": "Surrounding ground area with scattered debris or materials", "position": "bottom and mid frame around opening", "orientation": "flat"}, {"id": "obj_4", "class": "building_structure", "description": "Out-of-focus building or wall in background", "position": "upper part of frame behind opening", "orientation": "vertical surfaces"}]</t>
  </si>
  <si>
    <t>[{"id": "anom_1", "related_objects": ["obj_1"], "type": "unprotected_opening", "description": "Large open ground-level access or tank opening without any visible cover, barrier, or guard around it, which could pose a fall or trip hazard if people are nearby.", "risk_score_1_to_10": 5, "risk_target": ["pedestrians", "workers"], "region": {"x_center_norm": 0.5, "y_center_norm": 0.6, "width_norm": 0.7, "height_norm": 0.6}, "reasoning": "The main visible feature is a wide open circular hole in the ground with no clear protective railing or cover. In most built environments, such openings are expected to be covered or cordoned off when accessible to people. If this is an active work site, temporary barriers or cones would typically be present. The blurriness prevents confirmation of such barriers, so risk is assessed as moderate rather than high."}, {"id": "anom_2", "related_objects": ["obj_2", "obj_1"], "type": "work_area_without_clear_delimitation", "description": "Hose or pipe leading into an underground opening suggests active pumping or maintenance, but there are no clearly visible cones, warning signs, or fencing marking it as a restricted work zone.", "risk_score_1_to_10": 4, "risk_target": ["pedestrians", "general_civilians", "workers"], "region": {"x_center_norm": 0.45, "y_center_norm": 0.45, "width_norm": 0.8, "height_norm": 0.8}, "reasoning": "The hose into the opening indicates an ongoing service operation (e.g., septic or drainage work). Normal practice is to mark such temporary hazards to prevent accidental entry. Because of the low resolution, warning devices may be present but are not discernible, so a mild-to-moderate risk is assigned rather than severe."}]</t>
  </si>
  <si>
    <t>Geolocation and cultural context are highly uncertain due to extreme blur; the scene appears to be an outdoor area near a building in a generic urban or semi-urban environment. Risk assessment is conservative and based on typical safety expectations around open manholes or tank accesses.</t>
  </si>
  <si>
    <t>blurred_downsampled/pexels-aj4xo-28939335.jpg</t>
  </si>
  <si>
    <t>Very crowded narrow urban street market with mixed pedestrians and vehicles under hanging tarps and dense overhead wiring.</t>
  </si>
  <si>
    <t>[{"id": "obj_1", "class": "pedestrians", "description": "Dense crowd of people walking along and within the roadway through the center and background of the scene.", "position": "center and extending deep into background, occupying most of street width", "orientation": "mostly facing toward the camera or moving along the street axis"}, {"id": "obj_2", "class": "motorcycle", "description": "Motorcycle with rider in purple shirt near the front center of the frame.", "position": "lower center foreground on the roadway", "orientation": "facing toward the camera, moving or preparing to move forward"}, {"id": "obj_3", "class": "motorcycle", "description": "Another motorcycle with rider in blue shirt and white mask slightly left of center foreground.", "position": "lower left-center foreground on the roadway", "orientation": "facing toward the camera"}, {"id": "obj_4", "class": "auto_rickshaw", "description": "Three-wheeler auto-rickshaw among traffic and people on the left side mid-ground.", "position": "left-middle of the street", "orientation": "aligned with street axis, generally facing away from camera"}, {"id": "obj_5", "class": "car_or_van", "description": "Light-colored car or van embedded in the crowd in the mid-background.", "position": "center background on narrow roadway", "orientation": "facing toward the camera"}, {"id": "obj_6", "class": "street_stalls", "description": "Rows of small shops and hanging garments along both sides of the narrow street.", "position": "left and right sides of scene", "orientation": "fronts open toward street"}, {"id": "obj_7", "class": "overhead_tarps", "description": "Large blue and dark fabric sheets suspended over the street providing shade.", "position": "upper half of image extending across width of street", "orientation": "horizontally stretched above roadway"}, {"id": "obj_8", "class": "overhead_cables", "description": "Dense clusters of cables and wires running along buildings and crossing above the street.", "position": "upper left and upper central areas, parallel to building facades", "orientation": "mostly horizontal along street axis"}, {"id": "obj_9", "class": "child_pedestrian", "description": "Child-sized person in yellow shirt and red-striped pants standing among traffic.", "position": "lower-right of center mid-ground, in the lane between vehicles", "orientation": "facing away from camera, toward center of street"}]</t>
  </si>
  <si>
    <t>[{"id": "anom_1", "related_objects": ["obj_1", "obj_2", "obj_3", "obj_4", "obj_5", "obj_9"], "type": "mixed_traffic_pedestrian_conflict", "description": "High-density mixture of motor vehicles, motorcycles, and pedestrians sharing a very narrow street space with little separation.", "risk_score_1_to_10": 7, "risk_target": ["pedestrians", "drivers", "motorcyclists"], "region": {"x_center_norm": 0.5, "y_center_norm": 0.7, "width_norm": 0.9, "height_norm": 0.55}, "reasoning": "Pedestrians and vehicles occupy the same constrained lane without physical barriers or clear markings. Motorcycles are very close to walkers, and a child stands between vehicles, increasing collision risk, especially with limited maneuvering room and limited visibility in the crowd."}, {"id": "anom_2", "related_objects": ["obj_8", "obj_7"], "type": "overhead_infrastructure_hazard", "description": "Dense overhead wiring combined with low-hanging tarps over a crowded marketplace.", "risk_score_1_to_10": 5, "risk_target": ["general_civilians"], "region": {"x_center_norm": 0.45, "y_center_norm": 0.25, "width_norm": 0.9, "height_norm": 0.4}, "reasoning": "Multiple cables run close to building fronts and under or through large tarps. In a dense, busy area this can pose moderate risk of electrical faults, sagging lines, or fire spread, particularly if tarps or nearby materials are flammable. While such wiring is common in similar markets, it still presents elevated safety risk."}]</t>
  </si>
  <si>
    <t>Step 1 context: Architecture, auto-rickshaws, clothing styles, and crowded bazaar layout suggest a busy market street in South Asia, likely India; confidence medium. Such mixed traffic is somewhat normalized but still carries substantial collision and injury risk, especially for children and slower pedestrians.</t>
  </si>
  <si>
    <t>blurred_downsampled/0073.png</t>
  </si>
  <si>
    <t>Blurry aerial or elevated view of a coastal urban area with buildings, trees, a beach, and ocean waves.</t>
  </si>
  <si>
    <t>[{"id": "obj_1", "class": "coastline", "description": "Curving shoreline with sandy beach along the right side of the image next to the ocean", "position": "right and central portion of the scene, forming the boundary between land and water", "orientation": "extends from lower-right toward upper-left"}, {"id": "obj_2", "class": "ocean", "description": "Body of water with visible waves approaching the shore", "position": "right half and upper-right of the scene adjacent to the beach", "orientation": "waves moving roughly toward the shore"}, {"id": "obj_3", "class": "buildings", "description": "Cluster of light-colored multi-story buildings near the coastline", "position": "left and upper-left areas close to the shore", "orientation": "facing toward the coast"}, {"id": "obj_4", "class": "vegetation", "description": "Trees and greenery scattered between buildings and along the shore", "position": "central and lower areas of the scene", "orientation": "upright"}]</t>
  </si>
  <si>
    <t>Image is heavily blurred, preventing reliable detection of people, vehicles, or specific hazards. No clear anomalies or abnormal risks are discernible beyond ordinary coastal conditions.</t>
  </si>
  <si>
    <t>blurred_downsampled/normal_129.png</t>
  </si>
  <si>
    <t>Blurred urban sidewalk scene adjacent to a street with a parked car and traffic signs.</t>
  </si>
  <si>
    <t>[{"id": "obj_1", "class": "sidewalk", "description": "Paved pedestrian sidewalk occupying the foreground and right side of the image.", "position": "foreground and right side of scene", "orientation": "parallel to street"}, {"id": "obj_2", "class": "car", "description": "Dark-colored car parked or stopped along the curb on the right side of the image.", "position": "midground right along curb", "orientation": "aligned with street direction"}, {"id": "obj_3", "class": "traffic_sign", "description": "Vertical pole with blue and red circular sign near the left side of the image.", "position": "left side near curb between sidewalk and street", "orientation": "upright"}, {"id": "obj_4", "class": "building", "description": "Multi-story residential or mixed-use building in the background.", "position": "background center and right", "orientation": "façade facing street"}, {"id": "obj_5", "class": "vegetation", "description": "Bushes or small trees forming greenery between sidewalk and building.", "position": "midground center behind car", "orientation": "upright"}, {"id": "obj_6", "class": "crosswalk", "description": "Faintly visible white stripes on roadway near left, indicating a pedestrian crossing.", "position": "left edge near roadway-sidwalk junction", "orientation": "perpendicular to street direction"}]</t>
  </si>
  <si>
    <t>The image is heavily blurred, limiting detailed inspection. Within what can be seen, the scene appears to be a typical urban sidewalk and roadside with no clearly visible unsafe behaviors, obstructions, or infrastructure damage.</t>
  </si>
  <si>
    <t>blurred_downsampled/1132.jpg</t>
  </si>
  <si>
    <t>Highly blurred view of a paved street or parking area with several vehicles and an indistinct dark object or patch on the ground in the foreground.</t>
  </si>
  <si>
    <t>[{"id": "obj_1", "class": "car", "description": "Light-colored car on the left side of the paved area", "position": "left side of scene, parked or moving along the edge of the paved surface", "orientation": "roughly aligned with the direction of the street, facing away or toward camera (indistinct)"}, {"id": "obj_2", "class": "car", "description": "Red car toward the upper center-right background", "position": "upper center-right, on or near the roadway", "orientation": "aligned with roadway, exact direction unclear"}, {"id": "obj_3", "class": "unknown_ground_object", "description": "Dark irregular patch or object on the ground in the lower center foreground", "position": "lower center of the paved surface", "orientation": "lying flat on the ground"}]</t>
  </si>
  <si>
    <t>The image is extremely blurred, preventing reliable identification of fine details such as whether the dark ground object is a pothole, spill, debris, or something else. Because of this uncertainty, no specific anomaly is asserted; any detailed hazard classification would be speculative. Overall risk is set to 0 to reflect the lack of clearly observable abnormal conditions given the limited visual information.</t>
  </si>
  <si>
    <t>blurred_downsampled/H3BdERkT5c1q_2K1JTaJ7Q.jpg</t>
  </si>
  <si>
    <t>Daytime view of an unpaved residential street with sparse traffic and roadside houses, captured in a very blurred image.</t>
  </si>
  <si>
    <t>[{"id": "obj_1", "class": "roadway", "description": "Wide dirt road extending from the foreground to the center background", "position": "center foreground to mid-scene", "orientation": "aligned roughly along the camera’s viewing direction"}, {"id": "obj_2", "class": "car", "description": "Light-colored car parked or moving on the left side of the road near houses", "position": "left midground", "orientation": "roughly facing toward or away from camera; exact orientation unclear due to blur"}, {"id": "obj_3", "class": "car", "description": "Light-colored car farther down the road near large tree", "position": "center background", "orientation": "aligned with the road; exact direction unclear due to blur"}, {"id": "obj_4", "class": "buildings", "description": "Low residential-style buildings and boundary walls on both sides of the road", "position": "left and right edges of scene", "orientation": "fronts oriented toward the road"}, {"id": "obj_5", "class": "utility_poles_and_lines", "description": "Series of power poles with overhead cables along the right side of the street", "position": "right side from foreground to background", "orientation": "poles vertical, lines running parallel to the road"}, {"id": "obj_6", "class": "tree", "description": "Large tree overhanging the road near the background", "position": "center-right background", "orientation": "branches extending over roadway"}, {"id": "obj_7", "class": "road_surface_defects", "description": "Ruts, patches, and minor holes in the unpaved dirt road surface", "position": "spread across the roadway, especially center foreground", "orientation": "aligned with vehicle tracks along road direction"}]</t>
  </si>
  <si>
    <t>Step 1 – Geolocation &amp; context: Likely a suburban or peri-urban residential area in a warm-climate region, possibly Latin America or similar, inferred from unpaved street, overhead power lines, low-rise houses, and vegetation. Confidence: low to medium, as the image is heavily blurred and lacks legible signs or distinct regional markers. Step 2 – Scene type: roadway/traffic environment and residential/mixed urban. Step 3 – The image is strongly out-of-focus, limiting detailed hazard detection. The visible conditions—light traffic, typical dirt-road irregularities, standard roadside infrastructure—do not present clear anomalies beyond normal expectations for such a setting. Road ruts and minor potholes (obj_7) appear within typical bounds for an unpaved residential street and thus are not classified as abnormal hazards in this context. Because of the blur, smaller objects like pedestrians, animals, or debris cannot be reliably identified; risk assessment is therefore conservative but no specific abnormal risk can be confirmed.</t>
  </si>
  <si>
    <t>blurred_downsampled/0083.jpg</t>
  </si>
  <si>
    <t>Snow-covered road seen from a vehicle, following another vehicle ahead in low-visibility, wintry conditions.</t>
  </si>
  <si>
    <t>[{"id": "obj_1", "class": "car", "description": "Single vehicle ahead in the same lane on a snowy road", "position": "center of scene, ahead of the camera vehicle on the roadway", "orientation": "facing away from the camera, moving or stopped in same direction"}, {"id": "obj_2", "class": "roadway", "description": "Snow-covered road surface with indistinct lane markings", "position": "occupies lower and central part of the image", "orientation": "extending from bottom foreground toward center background"}, {"id": "obj_3", "class": "utility_poles_and_lines", "description": "Series of poles and overhead cables along roadside", "position": "right side of scene extending into background", "orientation": "aligned parallel to the road"}]</t>
  </si>
  <si>
    <t>[{"id": "anom_1", "related_objects": ["obj_1", "obj_2"], "type": "snow_covered_road_low_visibility", "description": "Roadway appears fully covered with snow, likely obscuring lane markings and reducing traction, combined with hazy, low-contrast visibility.", "risk_score_1_to_10": 6, "risk_target": ["drivers"], "region": {"x_center_norm": 0.5, "y_center_norm": 0.65, "width_norm": 1.0, "height_norm": 0.7}, "reasoning": "The entire road surface appears white and indistinct, indicating snow coverage, which typically reduces friction and hides lane boundaries. The overall blurriness and gray sky suggest low visibility. These factors increase braking distance and risk of skidding or lane departure for the followed vehicle and the camera vehicle."}]</t>
  </si>
  <si>
    <t>Geolocation confidence is low; scene could be in any cold-region country with snowy rural or peri-urban roads. No clear pedestrians or additional vehicles are discernible due to heavy blur; assessment is conservative and focused on obvious weather-related hazards.</t>
  </si>
  <si>
    <t>blurred_downsampled/049.png</t>
  </si>
  <si>
    <t>Nighttime urban street corner with a marked pedestrian crosswalk, sidewalk, and some distant vehicles or lights.</t>
  </si>
  <si>
    <t>[{"id": "obj_1", "class": "crosswalk", "description": "Painted zebra-style pedestrian crosswalk extending from the bottom center toward the middle of the image", "position": "foreground, spanning from near-camera bottom edge toward center of roadway", "orientation": "stripes roughly horizontal across the walking direction, leading away from viewer"}, {"id": "obj_2", "class": "sidewalk", "description": "Paved sidewalk with brick-like pattern adjacent to the crosswalk", "position": "bottom left corner and edge of image", "orientation": "runs along the street edge"}, {"id": "obj_3", "class": "roadway", "description": "Paved street surface with curved alignment and lane area beyond the crosswalk", "position": "center to right side of image, extending into background", "orientation": "curving from foreground right toward background center-right"}, {"id": "obj_4", "class": "person", "description": "Single standing person near a wall or structure at the far side of the crosswalk", "position": "mid-background, slightly left of center near the end of the crosswalk", "orientation": "appears to be facing the wall or slightly toward right side"}, {"id": "obj_5", "class": "tree_or_large_vegetation", "description": "Large dark tree canopy overhanging the corner area", "position": "upper center of image above the person and wall", "orientation": "stationary canopy shading the corner"}, {"id": "obj_6", "class": "vehicles_or_vehicle_lights", "description": "Bright lights consistent with oncoming or queued vehicles on the street", "position": "background right side along the roadway", "orientation": "aligned with street direction, facing toward camera or side-on"}, {"id": "obj_7", "class": "curb_or_edge_marking", "description": "Painted curb line bordering the street and sidewalk", "position": "along lower and left edges and continuing around the corner", "orientation": "follows street curvature"}]</t>
  </si>
  <si>
    <t>Step 1 – Geolocation &amp; context: The scene appears to be an urban street at night with a zebra crosswalk, sidewalk paving, stone wall, and large tree. Curb paint and general layout suggest a generic urban setting; specific country/region is highly uncertain (low-confidence location estimate). Nothing visibly deviates from normal expectations for a nighttime street corner with a crosswalk and some traffic. The heavy blur prevents detection of finer-grained hazards such as specific vehicle maneuvers or pedestrian behavior, so risks beyond everyday urban traffic cannot be reliably identified.</t>
  </si>
  <si>
    <t>blurred_downsampled/0005.png</t>
  </si>
  <si>
    <t>Nighttime view of a well-lit, empty paved sidewalk running alongside a road with streetlights, vegetation, and a wall or fence.</t>
  </si>
  <si>
    <t>[{"id": "obj_1", "class": "sidewalk", "description": "Paved pedestrian walkway extending from bottom foreground to center background", "position": "central and lower part of the scene, parallel to the road", "orientation": "extends away from the camera into the distance"}, {"id": "obj_2", "class": "road", "description": "Vehicle roadway running parallel to the sidewalk on the left side, separated by a curb or verge", "position": "left side of the scene", "orientation": "extends from front-left toward background center"}, {"id": "obj_3", "class": "streetlight", "description": "Multiple modern streetlights illuminating the road and sidewalk", "position": "upper central area above the road and sidewalk", "orientation": "upright vertical poles"}, {"id": "obj_4", "class": "fence_wall", "description": "Long wall with fencing or panels on top bordering the right edge of the sidewalk", "position": "right side of the scene", "orientation": "runs parallel to the sidewalk"}, {"id": "obj_5", "class": "vegetation", "description": "Bushes along the base of the wall and trees overhanging from the left", "position": "right side low (bushes) and upper left (tree canopy)", "orientation": "linear strip of bushes along wall; tree canopy overhanging walkway/road"}]</t>
  </si>
  <si>
    <t>Step 1 – Geolocation &amp; Context: Likely an urban or suburban area in a warm-climate region (e.g., Southern Europe, Middle East, or similar) based on the tree type, paving style, and wall/fence design, but this is low-confidence due to image blur and lack of signage or text. Step 2 – Scene Type: Sidewalk/pedestrian zone adjacent to a roadway in a mixed urban setting at night. Step 3 – No visible pedestrians, vehicles, or immediate hazards; lighting appears adequate and infrastructure looks orderly. Step 5 – No anomaly or abnormal risk detected in this scene given the visible evidence.</t>
  </si>
  <si>
    <t>blurred_downsampled/C_000014_24.jpg</t>
  </si>
  <si>
    <t>Heavily blurred view from a vehicle driving on a two-lane rural/semirural road with a car ahead and hills/vegetation on the roadside.</t>
  </si>
  <si>
    <t>[{"id": "obj_1", "class": "car", "description": "Dark-colored car directly ahead of the camera vehicle in the same lane", "position": "center of the lane in the middle of the image, ahead of the viewer", "orientation": "facing away from the camera, traveling in same direction"}, {"id": "obj_2", "class": "car", "description": "Light-colored car further ahead in same traffic stream", "position": "slightly right of image center, farther down the road", "orientation": "facing away from the camera, traveling in same direction"}, {"id": "obj_3", "class": "roadway", "description": "Two-lane paved road with lane markings visible faintly", "position": "extending from bottom center of image toward horizon", "orientation": "aligned roughly vertical from bottom to center of frame"}, {"id": "obj_4", "class": "hill/vegetation", "description": "Large vegetated hillside or embankment beside the road", "position": "left side of the image", "orientation": "sloping upward from lower left toward upper left"}, {"id": "obj_5", "class": "vegetation/roadside", "description": "Low vegetation and possible shoulder area along right side of road", "position": "right side of image bordering roadway", "orientation": "parallel to road"}]</t>
  </si>
  <si>
    <t>Step 1 – Geolocation &amp; Context: The terrain (hilly, vegetated), paved two-lane road, and clear sky suggest a rural or peri-urban area in a temperate or warm climate. No signage or markings are legible due to extreme blur, so region/country cannot be reliably inferred. Confidence: low. Assumption: typical rural highway or country road driving context.
Step 2 – Scene Type: This is a roadway/traffic environment in a natural-urban interface (road through a hilly/vegetated area).
Step 3 – Description: The image shows a blurred dashcam-like perspective from a moving vehicle following another car on a two-lane road; additional vehicles are farther ahead. Hills and vegetation line the sides of the road under a partly cloudy sky.
Step 4 – Objects: Identified major safety-relevant elements are the leading vehicle(s), the roadway, and adjacent terrain/vegetation. No pedestrians, cyclists, animals, or special infrastructure elements are discernible due to blur.
Step 5 – Anomaly Detection: The scene appears to show ordinary car-following on a rural road. Because of the strong blur, it is impossible to confirm more subtle anomalies (e.g., exact following distance, lane discipline, or roadside hazards). There is no clear evidence of wrong-way driving, obstructions, pedestrians on the roadway, or environmental hazards like flooding or fire. Thus, no specific anomaly is confidently identifiable.
Step 6 – Risk Assessment: With no concrete anomaly detected, no targeted risk assessment beyond typical driving risk can be made. Overall risk rating is set to 0 to comply with instructions when no anomaly is identified, though in reality any active driving situation carries some inherent risk.
Step 7 – Spatial Localization: Not applicable as no anomalies were identified.
Step 8 – Reasoning: The conclusion of no anomaly is based on the visible pattern of vehicles aligned in the same direction on a proper roadway and absence of visible obstructions or irregular behaviors, weighed against the uncertainty introduced by the heavy blur. To avoid over-interpreting unclear features, the assessment remains conservative.
Step 9 – Overall Safety Impact Summary: The scene represents normal driving conditions with no distinctly observable abnormal risks. Dominant risk is typical road traffic exposure for drivers and vehicle occupants. Situation classified as generally safe under ordinary driving assumptions, with no specific heightened hazard evidenced in the frame.</t>
  </si>
  <si>
    <t>blurred_downsampled/1060.jpg</t>
  </si>
  <si>
    <t>Open circular pit or manhole in an outdoor paved area with a large hose or pipe going into it, likely related to sewage or drainage work.</t>
  </si>
  <si>
    <t>[{"id": "obj_1", "class": "open_pit_or_manhole", "description": "Large circular opening in the ground with a raised rim, appears uncovered", "position": "center foreground of the scene on the ground surface", "orientation": "horizontal opening facing upward"}, {"id": "obj_2", "class": "hose_or_pipe", "description": "Thick hose or pipe entering the open pit", "position": "extending from upper part of frame down into center of pit", "orientation": "angled downward into the opening"}, {"id": "obj_3", "class": "ground_surface", "description": "Paved or hard ground surface with scattered debris or leaves around the opening", "position": "covers most of the lower half of the frame", "orientation": "flat horizontal surface"}]</t>
  </si>
  <si>
    <t>[{"id": "anom_1", "related_objects": ["obj_1", "obj_2", "obj_3"], "type": "unprotected_open_pit", "description": "Open pit or manhole used for utility work appears to lack visible barriers, cones, or covers to prevent people from stepping or falling into it.", "risk_score_1_to_10": 7, "risk_target": ["pedestrians", "workers"], "region": {"x_center_norm": 0.5, "y_center_norm": 0.6, "width_norm": 0.7, "height_norm": 0.6}, "reasoning": "An uncovered ground opening in a walking or working area is a fall hazard. The presence of a hose suggests active work, but no visible guards, railings, or warning markers are seen around the opening. This presents a significant trip and fall risk for pedestrians and workers nearby."}]</t>
  </si>
  <si>
    <t>Location and cultural context are uncertain due to image blur; assessment is based on generic urban or semi-urban utility work norms. Risk score assumes possible pedestrian access to the area.</t>
  </si>
  <si>
    <t>blurred_downsampled/0040.jpg</t>
  </si>
  <si>
    <t>Image is extremely blurred; no clear scene type, objects, or context can be reliably identified.</t>
  </si>
  <si>
    <t>The frame is so heavily blurred that no definitive features (roads, people, vehicles, infrastructure, or environmental elements) can be distinguished. Because of this, geolocation, scene classification, object detection, and anomaly assessment cannot be performed with any meaningful confidence. No explicit anomalies or risks can be identified from the available visual information.</t>
  </si>
  <si>
    <t>blurred_downsampled/C_000008_18.jpg</t>
  </si>
  <si>
    <t>Dashcam view on a two-lane winter roadway with another car very close ahead in the adjacent lane on a mostly empty snowy landscape.</t>
  </si>
  <si>
    <t>[{"id": "obj_1", "class": "car", "description": "Silver or light-colored car in the right half of the frame, close to the camera, moving along the road in the same direction.", "position": "front-right relative to dashcam vehicle, occupying right lane or shoulder area", "orientation": "Facing away from the camera, traveling forward"}, {"id": "obj_2", "class": "roadway", "description": "Straight paved road with two apparent lanes bordered by snow-covered shoulders or fields.", "position": "Center of image extending from bottom to horizon", "orientation": "Extends forward into the distance"}, {"id": "obj_3", "class": "snow_ice_roadside", "description": "Snow-covered ground along both sides of the road, indicating wintry conditions and potentially low temperatures.", "position": "Far left and far right edges of frame beside the paved surface", "orientation": "Parallel to the roadway edges"}, {"id": "obj_4", "class": "dashcam_vehicle", "description": "Viewer’s vehicle implied by dashboard and windshield at bottom of frame.", "position": "Bottom foreground, camera-mounted vehicle in left lane or centered on road", "orientation": "Facing forward along the road"}]</t>
  </si>
  <si>
    <t>[{"id": "anom_1", "related_objects": ["obj_1", "obj_4"], "type": "close_following_or_lane_encroachment", "description": "The leading car is very close to the dashcam vehicle and appears either partially in the same lane or merging with limited lateral and longitudinal clearance.", "risk_score_1_to_10": 6, "risk_target": ["drivers"], "region": {"x_center_norm": 0.73, "y_center_norm": 0.52, "width_norm": 0.35, "height_norm": 0.55}, "reasoning": "The front-right car occupies a large portion of the frame, indicating short headway distance, and is positioned near or over the lane boundary relative to the camera vehicle. At highway speeds on a winter road, such close proximity or uncertain lane separation increases collision risk even though no immediate impact is visible."}, {"id": "anom_2", "related_objects": ["obj_2", "obj_3"], "type": "potential_winter_road_surface_hazard", "description": "Snow-covered surroundings suggest possible icy or low-friction road surface, even if the pavement itself appears relatively clear.", "risk_score_1_to_10": 4, "risk_target": ["drivers"], "region": {"x_center_norm": 0.5, "y_center_norm": 0.6, "width_norm": 1.0, "height_norm": 0.8}, "reasoning": "Extensive snow on both sides of the road indicates freezing conditions. Even if the main lane looks dark and plowed, black ice or residual packed snow is plausible, which can reduce braking effectiveness, especially critical when vehicles are in close proximity."}]</t>
  </si>
  <si>
    <t>Geolocation is uncertain; straight rural-type highway with snow suggests a cold-climate region (e.g., northern North America, Northern/Eastern Europe, or Russia). Assessment is medium-confidence and limited by image blur; lane markings are not clearly visible, so the degree of lane encroachment is inferred rather than confirmed.</t>
  </si>
  <si>
    <t>blurred_downsampled/0021.jpg</t>
  </si>
  <si>
    <t>Urban street surface with an open manhole and a single traffic cone marking it.</t>
  </si>
  <si>
    <t>[{"id": "obj_1", "class": "roadway_surface", "description": "Paved road or street surface occupying most of the frame", "position": "covers foreground and midground across the image", "orientation": "horizontal plane"}, {"id": "obj_2", "class": "manhole_open", "description": "Open manhole with its cover raised upright adjacent to the opening", "position": "left-center of the image on the roadway surface", "orientation": "cover appears vertical, opening horizontal on the ground"}, {"id": "obj_3", "class": "traffic_cone", "description": "Orange cone placed near the open manhole as a warning marker", "position": "right-center of the image next to the open manhole", "orientation": "upright"}]</t>
  </si>
  <si>
    <t>[{"id": "anom_1", "related_objects": ["obj_2", "obj_3"], "type": "open_manhole_on_road", "description": "Open manhole in the roadway presents a fall and vehicle hazard; only a single cone appears to mark it, with limited protection or barrier.", "risk_score_1_to_10": 7, "risk_target": ["pedestrians", "drivers", "cyclists"], "region": {"x_center_norm": 0.45, "y_center_norm": 0.6, "width_norm": 0.6, "height_norm": 0.5}, "reasoning": "An open manhole on a trafficked surface is a significant hazard. Pedestrians or cyclists could fall into the opening, and vehicles could suffer damage or loss of control if they pass over or too close. While there is a cone providing some warning, the protection appears minimal for such a severe drop hazard."}]</t>
  </si>
  <si>
    <t>Geolocation is uncertain due to heavy blur; assumed generic urban roadway. Risk rating assumes this is an area accessible to normal pedestrian or vehicle traffic.</t>
  </si>
  <si>
    <t>blurred_downsampled/C_000009_28.jpg</t>
  </si>
  <si>
    <t>Very blurred dashcam-like view of a snowy road with at least one vehicle ahead and possible oncoming or roadside vehicle, indicating winter driving conditions.</t>
  </si>
  <si>
    <t>[{"id": "obj_1", "class": "roadway", "description": "Snow-covered multi-lane road extending from bottom center to upper center of frame with visible dark tire tracks", "position": "center foreground to center background", "orientation": "aligned roughly vertically away from camera"}, {"id": "obj_2", "class": "vehicle", "description": "Large dark vehicle ahead in same lane or central area of road", "position": "center-upper portion of scene", "orientation": "facing away from camera along road"}, {"id": "obj_3", "class": "vehicle", "description": "Light-colored vehicle offset to left side of road, possibly in opposing lane or partially off to the side", "position": "left-center of scene", "orientation": "orientation unclear due to blur, likely roughly aligned with road"}, {"id": "obj_4", "class": "snow/ice", "description": "Snow cover on road surface and along road edges, suggesting potentially slippery conditions", "position": "covering most of ground area in frame", "orientation": "horizontal ground surface"}]</t>
  </si>
  <si>
    <t>[{"id": "anom_1", "related_objects": ["obj_1", "obj_2", "obj_4"], "type": "slippery_winter_road_conditions", "description": "Roadway appears fully snow-covered with only tire tracks visible, implying reduced traction and increased stopping distance for vehicles.", "risk_score_1_to_10": 6, "risk_target": ["drivers"], "region": {"x_center_norm": 0.5, "y_center_norm": 0.7, "width_norm": 0.9, "height_norm": 0.55}, "reasoning": "The ground is uniformly light-colored with dark parallel tracks, typical of compacted snow or ice. Such conditions significantly increase braking distance and likelihood of skids, especially with vehicles traveling in close proximity. Even though detailed traffic behavior is unclear due to blur, winter road conditions alone create a moderate collision risk."}]</t>
  </si>
  <si>
    <t>Image is extremely blurred, so detailed lane positions, speeds, and exact vehicle maneuvers cannot be reliably determined. Risk scoring focuses on clearly visible winter road conditions rather than specific traffic violations.</t>
  </si>
  <si>
    <t>blurred_downsampled/0103.jpg</t>
  </si>
  <si>
    <t>Urban street in what appears to be an Indian city with an auto‑rickshaw in the middle of the lane, motorcycles, shops, and a few pedestrians.</t>
  </si>
  <si>
    <t>[{"id": "obj_1", "class": "auto_rickshaw", "description": "Green and yellow auto‑rickshaw positioned near the center of the roadway close to the camera", "position": "center foreground of the traffic lane", "orientation": "facing away from the camera along the street"}, {"id": "obj_2", "class": "motorcycle", "description": "Motorcycle parked along the right side of the street near the curb", "position": "right foreground at curbside", "orientation": "roughly aligned with street direction"}, {"id": "obj_3", "class": "motorcycles", "description": "Several motorcycles or scooters parked along the left side of the street near storefronts", "position": "left side, mid‑ground at curbside", "orientation": "parallel to curb"}, {"id": "obj_4", "class": "pedestrians", "description": "A few people on or near two‑wheelers along both sides of the street", "position": "dispersed along left and right sidewalks/curb zones, mid‑ground", "orientation": "various, some facing along the street"}, {"id": "obj_5", "class": "buildings", "description": "Multi‑story commercial/residential buildings with shops at ground level on both sides", "position": "both sides framing the street", "orientation": "fronts facing the roadway"}, {"id": "obj_6", "class": "street", "description": "Two‑way urban street without clear lane markings visible in the image", "position": "extends from foreground to background", "orientation": "running from bottom toward top of the frame"}]</t>
  </si>
  <si>
    <t>Step 1 – Likely geographic context: The auto‑rickshaw style, building facades, motorcycles, and general streetscape suggest an Indian or South Asian urban environment; confidence medium due to image blur. This type of vehicle mix and informal curbside activity is normal for such streets. Step 2 – Scene type: roadway/traffic environment within a mixed urban commercial/residential area. Step 3 – The image is heavily blurred, limiting precise detection of small hazards (e.g., potholes, specific road defects, or exact pedestrian behavior). From what is visible, vehicles appear either parked or moving slowly and no clear unsafe behavior or abnormal environmental condition (e.g., flooding, fire, major obstruction) is discernible, so no specific anomalies are identified and overall risk is assessed as background/normal for this context.</t>
  </si>
  <si>
    <t>blurred_downsampled/0087.jpg</t>
  </si>
  <si>
    <t>Blurry daytime view from a vehicle driving on a two-lane road through hilly or mountainous terrain with several vehicles ahead.</t>
  </si>
  <si>
    <t>[{"id": "obj_1", "class": "car", "description": "Blurry dark-colored car directly ahead in same lane, near center of frame", "position": "center lane ahead of camera vehicle", "orientation": "facing away from camera, aligned with road direction"}, {"id": "obj_2", "class": "car", "description": "Light-colored car further ahead in same lane beyond the first car", "position": "center distance, same lane as obj_1", "orientation": "facing away from camera"}, {"id": "obj_3", "class": "car", "description": "Another vehicle in opposing or adjacent lane farther ahead", "position": "slightly right of center, farther along road", "orientation": "uncertain due to blur, likely facing toward or away along road"}, {"id": "obj_4", "class": "roadway", "description": "Two-lane paved road running through hilly terrain", "position": "occupies lower half of image", "orientation": "extends from bottom center toward upper center"}, {"id": "obj_5", "class": "hill", "description": "Large vegetated hillside on left side of road", "position": "left side of frame", "orientation": "sloping upward from road edge"}, {"id": "obj_6", "class": "vegetation", "description": "Low vegetation and bushes along right roadside", "position": "right side of frame along road edge", "orientation": "parallel to roadway"}, {"id": "obj_7", "class": "utility_pole", "description": "Tall pole with possible wires along right side of road", "position": "right-center, near horizon", "orientation": "vertical"}]</t>
  </si>
  <si>
    <t>Step 1 – Geolocation &amp; Context: The image is highly blurred, limiting detail. The scene appears to be a rural or peri-urban two-lane roadway through hilly terrain with vegetation suited to a warm or temperate climate. Road markings and vehicles are indistinct, so specific country or region cannot be reliably inferred; confidence is low. Assumption: a typical bidirectional road with one lane each way and standard traffic norms. 
Step 2 – Scene Type: Roadway / traffic environment within a natural-urban interface (hills/vegetation along a maintained road). 
Step 3 – Scene Description: A vehicle-mounted camera looks along a paved road with at least two vehicles ahead, bordered by a hill on the left and lower vegetation on the right, under partly cloudy skies. 
Step 5 – Anomaly Detection: Due to the strong blur, fine-grained hazards (e.g., pedestrians, animals, debris, lane violations) cannot be confirmed. The visible configuration—cars aligned in lane on an open rural road—matches normal expectations. No clear anomaly or abnormal behavior is apparent. 
Step 6 – Risk Assessment: Since no specific anomaly is detectable, no explicit risk can be scored beyond generic driving risk; overall_risk_score is set to 0 per instructions. 
Step 8 – Reasoning: The key reason for no anomalies is that all discernible objects (cars, road, terrain) appear in expected positions and relationships for a rural road. The strong defocus prevents asserting hazards rather than revealing any; thus, the assessment is conservative and avoids speculating about unseen risks.</t>
  </si>
  <si>
    <t>blurred_downsampled/C_000005_26.jpg</t>
  </si>
  <si>
    <t>Very blurred dashcam-like view of multi-lane urban roadway with cars ahead in light traffic, possibly winter conditions with snow along roadside.</t>
  </si>
  <si>
    <t>[{"id": "obj_1", "class": "car", "description": "Lead car directly ahead of camera in same lane", "position": "center foreground of lane in front of camera vehicle", "orientation": "facing away from camera, aligned with roadway"}, {"id": "obj_2", "class": "car", "description": "Car in adjacent lane slightly ahead and to the right of lead car", "position": "right-middle of frame, likely right adjacent lane", "orientation": "facing away from camera, aligned with roadway"}, {"id": "obj_3", "class": "road_infrastructure", "description": "Multi-lane paved roadway with lane divider markings faintly visible", "position": "bottom and center of frame", "orientation": "extending from bottom toward horizon"}, {"id": "obj_4", "class": "roadside_barrier_or_snowbank", "description": "Light-colored continuous strip along left roadside, possibly snowbank or barrier", "position": "left side of frame along road edge", "orientation": "parallel to roadway"}, {"id": "obj_5", "class": "overhead_gantries_and_poles", "description": "Tall poles and overhead sign structures above roadway", "position": "upper portion of frame spanning left to right", "orientation": "vertical poles with horizontal gantries"}]</t>
  </si>
  <si>
    <t>Step 1 – Geolocation &amp; context: The scene resembles an urban or peri-urban arterial road in a cold-climate region (indicated by apparent snow along the roadside and overcast sky). Style of gantries and wide multilane road suggest a developed country with standard traffic infrastructure, but due to heavy blur, specific country or signage language cannot be determined; confidence is low. Step 2 – Scene type: roadway/traffic environment within mixed urban setting. Step 3 – Description: The camera appears to be inside a vehicle following another car on a straight multi-lane road with another vehicle in the adjacent lane and overhead road structures. Visibility of lane markings and exact traffic control devices is too poor to infer any violations. Step 5 – Anomaly detection: Image blur prevents precise reading of signals, positions, or potential conflicts; no clear wrong-way driving, crashes, pedestrians in roadway, or other abnormal behaviors are visible, so no specific anomaly is identified. Risk assessment is therefore set to zero, acknowledging uncertainty due to low image quality.</t>
  </si>
  <si>
    <t>blurred_downsampled/0013.jpg</t>
  </si>
  <si>
    <t>Blurry view of an outdoor paved path or road with a large dark depression or hole in the surface and vegetation along the sides.</t>
  </si>
  <si>
    <t>[{"id": "obj_1", "class": "roadway", "description": "Paved path or small road extending from foreground to background", "position": "occupies most of the image center from bottom to top", "orientation": "aligned roughly vertically in the image, receding into the distance"}, {"id": "obj_2", "class": "vegetation", "description": "Green vegetation or trees along both sides of the path", "position": "left and right edges of the frame", "orientation": "bordering the roadway"}, {"id": "obj_3", "class": "road_damage", "description": "Large dark depression or hole in the middle of the paved surface", "position": "lower-center of the image on the roadway", "orientation": "transverse across the lane"}]</t>
  </si>
  <si>
    <t>[{"id": "anom_1", "related_objects": ["obj_1", "obj_3"], "type": "road_surface_hazard", "description": "Significant hole or collapse in the paved road surface creating an obstruction and potential drop.", "risk_score_1_to_10": 7, "risk_target": ["drivers", "pedestrians", "cyclists"], "region": {"x_center_norm": 0.5, "y_center_norm": 0.6, "width_norm": 0.4, "height_norm": 0.3}, "reasoning": "The central dark area appears as a sizable depression or hole interrupting the otherwise continuous pavement. On a path or small road, this could cause loss of control for vehicles or trips and falls for pedestrians and cyclists, especially if not easily visible or marked."}]</t>
  </si>
  <si>
    <t>Geolocation context is low-confidence; this appears to be a generic outdoor paved path or minor road, likely in a temperate or tropical area given surrounding greenery. The image is heavily blurred, so the exact depth and size of the hole cannot be determined, but its relative prominence suggests a non-trivial hazard.</t>
  </si>
  <si>
    <t>blurred_downsampled/anomaly_335.png</t>
  </si>
  <si>
    <t>Urban sidewalk with a tree or pole base surrounded by loose materials or debris near a low wall and vegetation.</t>
  </si>
  <si>
    <t>[{"id": "obj_1", "class": "sidewalk", "description": "Paved pedestrian walkway extending from foreground to background on the left side of the scene", "position": "occupies most of the left and central lower part of the image", "orientation": "aligned roughly from bottom to top of the frame"}, {"id": "obj_2", "class": "tree_or_pole", "description": "Tall vertical structure (likely tree with protective metal frame or pole) located near the center of the sidewalk", "position": "center of image, rooted in a small cut-out in the sidewalk", "orientation": "vertical"}, {"id": "obj_3", "class": "debris_or_loose_material", "description": "Cluster of loose blocks or stones and scattered pieces around the base of the vertical structure", "position": "bottom-center of the image on the walking surface around the tree/pole base", "orientation": "lying flat on the ground"}, {"id": "obj_4", "class": "wall", "description": "Low retaining wall running along the right side of the sidewalk with vegetation above it", "position": "right side of the frame, parallel to the sidewalk", "orientation": "horizontal along scene depth"}, {"id": "obj_5", "class": "vegetation", "description": "Bushes or overhanging plants above the wall on the right and possibly trees overhead", "position": "upper-right portion of image", "orientation": "overhanging sidewalk area"}]</t>
  </si>
  <si>
    <t>[{"id": "anom_1", "related_objects": ["obj_1", "obj_2", "obj_3"], "type": "trip_hazard_on_sidewalk", "description": "Loose blocks or stones and scattered debris occupying part of the sidewalk around the base of the tree or pole, obstructing the walking path.", "risk_score_1_to_10": 5, "risk_target": ["pedestrians"], "region": {"x_center_norm": 0.5, "y_center_norm": 0.78, "width_norm": 0.45, "height_norm": 0.35}, "reasoning": "The loose materials on the walking surface create an uneven, obstructed area where pedestrians would normally step. This increases the likelihood of tripping or misstepping, especially for distracted walkers, elderly individuals, or those with mobility or vision impairments. The obstruction is directly in the middle of the pedestrian path rather than clearly cordoned off or recessed."}]</t>
  </si>
  <si>
    <t>Geographic context is low-confidence; appears to be a generic urban sidewalk in a warm-climate city. Assessment is based on general pedestrian safety norms.</t>
  </si>
  <si>
    <t>blurred_downsampled/clm_s_01_2011-11-22-07-00.png</t>
  </si>
  <si>
    <t>Heavily blurred coastal urban scene with buildings, palm trees, sandy beach, and rough sea with waves.</t>
  </si>
  <si>
    <t>[{"id": "obj_1", "class": "coastline", "description": "Curving sandy beach stretching from lower center toward upper left along the sea", "position": "center band from left to right separating urban area and water", "orientation": "aligned diagonally from lower center to upper left"}, {"id": "obj_2", "class": "sea", "description": "Body of water with visible white-capped waves offshore", "position": "right half and upper right of image adjacent to beach", "orientation": "waves roughly parallel to shoreline"}, {"id": "obj_3", "class": "buildings", "description": "Cluster of mid- and low-rise buildings near the shoreline", "position": "left side and lower left of image near the beach", "orientation": "faces generally toward the sea"}, {"id": "obj_4", "class": "vegetation", "description": "Tall palm trees and other greenery close to the beach and among buildings", "position": "lower half of image, especially lower center and lower right", "orientation": "vertical"}]</t>
  </si>
  <si>
    <t>The image is strongly blurred, preventing reliable identification of humans, vehicles, or detailed hazards. Sea conditions appear somewhat rough, but without visible swimmers or boats, no specific actionable anomaly can be identified.</t>
  </si>
  <si>
    <t>blurred_downsampled/0086.jpg</t>
  </si>
  <si>
    <t>Extremely blurred dashcam-like view of a snowy road with at least one vehicle ahead, likely in winter conditions.</t>
  </si>
  <si>
    <t>[{"id": "obj_1", "class": "roadway", "description": "Snow-covered multi-lane road extending from bottom center into distance", "position": "center of scene, extending from foreground to background", "orientation": "aligned roughly vertically with camera direction"}, {"id": "obj_2", "class": "vehicle", "description": "Indistinct vehicle shape ahead near center of lane on snowy road", "position": "center of scene, mid to upper third distance on road", "orientation": "facing away from camera, traveling in same direction"}, {"id": "obj_3", "class": "vehicle", "description": "Very blurred vehicle-like shape to the left side of the road", "position": "left-center of scene, mid distance", "orientation": "unclear due to blur, possibly crossing or angled to roadway"}, {"id": "obj_4", "class": "snow", "description": "Snow accumulation on road surface and roadside areas", "position": "covering road and both sides of the scene", "orientation": "on horizontal surfaces"}]</t>
  </si>
  <si>
    <t>[{"id": "anom_1", "related_objects": ["obj_1", "obj_2", "obj_4"], "type": "slippery_snow_covered_road", "description": "Roadway appears largely covered with snow, likely causing reduced traction and longer braking distances for vehicles.", "risk_score_1_to_10": 6, "risk_target": ["drivers"], "region": {"x_center_norm": 0.5, "y_center_norm": 0.7, "width_norm": 0.9, "height_norm": 0.6}, "reasoning": "The scene shows continuous light-toned coverage consistent with snow over the entire road, with faint tire tracks, suggesting potentially slippery conditions that increase crash risk, especially at typical road speeds."}]</t>
  </si>
  <si>
    <t>Image is extremely blurred, so vehicle positions, exact lane markings, and any additional hazards (pedestrians, obstacles, oncoming traffic) cannot be confirmed. Location context (country/region) is low-confidence; it appears to be a cold-climate roadway with winter conditions, but no clear signage or architectural cues are visible.</t>
  </si>
  <si>
    <t>blurred_downsampled/0077.png</t>
  </si>
  <si>
    <t>Heavily blurred aerial/coastal view of a sandy beach with palm trees and adjacent built-up shoreline along a body of water.</t>
  </si>
  <si>
    <t>[{"id": "obj_1", "class": "coastline", "description": "Curving sandy shoreline running roughly from lower left to upper right beside the water", "position": "central band from left to right, between water and inland area", "orientation": "parallel to waterline"}, {"id": "obj_2", "class": "water_body", "description": "Large expanse of blue-green water with small waves along the shore", "position": "right and upper-right portion of the image", "orientation": "waves approaching shoreline"}, {"id": "obj_3", "class": "vegetation", "description": "Multiple tall palm-like trees along the beach and slightly inland", "position": "lower and central parts of the scene near the shoreline", "orientation": "vertical"}, {"id": "obj_4", "class": "buildings", "description": "Cluster of multi-story structures near the coastline and possibly further inland", "position": "upper-left and lower portions of the image near the coast", "orientation": "aligned roughly along shoreline"}]</t>
  </si>
  <si>
    <t>The image is extremely blurred, preventing reliable identification of people, vehicles, or specific hazards such as rip currents, damaged infrastructure, or unsafe crowding. Given the lack of discernible anomalies, the scene is treated as a normal coastal/urban-beach environment with no clearly visible abnormal risks.</t>
  </si>
  <si>
    <t>blurred_downsampled/anomaly_230.png</t>
  </si>
  <si>
    <t>Blurred urban street with parallel-parked cars along a curb and what appears to be a bicycle or scooter lying partly in the roadway near the curb.</t>
  </si>
  <si>
    <t>[{"id": "obj_1", "class": "car", "description": "Dark-colored car parked along the curb on the right side of the street, front facing toward the camera", "position": "right side of roadway adjacent to curb, mid-to-upper part of image", "orientation": "aligned with street, front toward lower edge of image"}, {"id": "obj_2", "class": "car", "description": "Light-colored car parked ahead of or behind the dark car on the left side of the image", "position": "left-middle of image, parallel to obj_1, also at curbside", "orientation": "aligned with street"}, {"id": "obj_3", "class": "bicycle_or_scooter", "description": "Small two-wheeled vehicle (likely a bicycle or scooter) lying on its side near the curb next to the parked dark car", "position": "lower-middle of image, adjacent to curb and partly in the street area", "orientation": "appears fallen on its side, angled across the curb-line"}, {"id": "obj_4", "class": "curb_sidewalk", "description": "Raised curb with colored edge (blue/white) and adjacent sidewalk", "position": "right side and lower edge of image, running vertically", "orientation": "parallel to parked cars and street"}, {"id": "obj_5", "class": "roadway", "description": "Vehicular lane next to parked cars", "position": "central area of image between parked cars and opposite side", "orientation": "extends away from camera"}]</t>
  </si>
  <si>
    <t>[{"id": "anom_1", "related_objects": ["obj_3", "obj_1", "obj_5"], "type": "fallen_bicycle_or_scooter_in_parking_lane", "description": "A small two-wheeled vehicle appears to be lying on its side near the curb and protruding into the roadway next to a parked car, rather than being upright and secured.", "risk_score_1_to_10": 5, "risk_target": ["drivers", "cyclists", "pedestrians"], "region": {"x_center_norm": 0.35, "y_center_norm": 0.62, "width_norm": 0.35, "height_norm": 0.25}, "reasoning": "The two-wheeled vehicle is not upright in a designated rack or fully on the sidewalk; instead it lies near or partly in the traffic space next to a parked car. This is abnormal because such vehicles are normally parked upright and clear of vehicle paths. A driver pulling in or out, or passing closely, could strike it or be forced to swerve. A fallen vehicle can also indicate a recent minor collision or a rider who may have left the area, but no person is visible. The risk is moderate rather than extreme because traffic speed in a parked curb lane is usually low, yet it still presents a tripping and collision hazard."}]</t>
  </si>
  <si>
    <t>Step 1 – Geolocation &amp; Context: Urban street with blue-white curb markings and yellow license plate suggests a Mediterranean or Middle Eastern city, possibly Israel, but this is low-confidence due to blurring. Scene Type: roadway/traffic environment with adjacent sidewalk in a mixed urban area. No humans are clearly visible, and image blur limits fine detail; anomaly assessment is conservative.</t>
  </si>
  <si>
    <t>blurred_downsampled/050.png</t>
  </si>
  <si>
    <t>Nighttime urban crosswalk with pedestrians crossing in front of a stopped vehicle at a signalized intersection.</t>
  </si>
  <si>
    <t>[{"id": "obj_1", "class": "crosswalk", "description": "Marked zebra crosswalk extending from bottom foreground toward center of image", "position": "center foreground to midground", "orientation": "aligned roughly vertically from viewer toward intersection"}, {"id": "obj_2", "class": "pedestrian", "description": "Person walking in the middle of the crosswalk", "position": "center of image, midground on crosswalk", "orientation": "facing away from camera toward far side of street"}, {"id": "obj_3", "class": "pedestrian", "description": "Second person walking slightly left of center on the crosswalk", "position": "slightly left of center, midground on crosswalk", "orientation": "facing away from camera toward far side of street"}, {"id": "obj_4", "class": "vehicle", "description": "Light-colored van or large car near the right edge of the intersection, apparently stopped", "position": "right midground at edge of intersection", "orientation": "parallel to crosswalk, facing left or right along the intersecting street"}, {"id": "obj_5", "class": "traffic_signal", "description": "Green traffic light visible on left side of intersection", "position": "left midground above sidewalk area", "orientation": "mounted on vertical pole facing along roadway"}, {"id": "obj_6", "class": "street_lighting", "description": "Overhead streetlights illuminating road and crosswalk", "position": "upper part of scene", "orientation": "directed downward onto roadway"}, {"id": "obj_7", "class": "trees", "description": "Trees lining the far side of the intersection", "position": "background behind crosswalk and sidewalks", "orientation": "upright"}]</t>
  </si>
  <si>
    <t>Step 1 – Geolocation &amp; Context: The scene appears to be a generic urban or suburban intersection at night with a zebra crosswalk, traffic lights, and a van, likely in a developed country with standard signalized crossings. No clear language or country-specific markings are visible; confidence is low for precise location but environment is typical of many cities. Step 2 – Scene Type: Roadway/traffic environment with pedestrian zone at a signalized crosswalk in a mixed urban setting. Step 3/4 – Scene Description &amp; Objects: Two pedestrians are properly using the crosswalk, a vehicle is stopped or waiting at the intersection, and the traffic signal shows green (exact direction/destination unclear due to blur). Lighting and infrastructure appear normal. Step 5 – Anomaly Detection: There is no evident wrong-way driving, no vehicle encroachment onto the crosswalk, no visible damaged infrastructure, and no environmental hazards such as flooding or fire. Pedestrians appear to be within the marked crossing. Due to image blur, fine-grained issues (e.g., exact signal phase for pedestrians) cannot be confirmed, so no specific anomaly is asserted. Step 6 – Risk Assessment: Under assumed normal signal operation, this is a standard, expected situation with routine background traffic risk only, thus overall_risk_score set to 0 for abnormal risk. If this were a real-time system, routine caution for nighttime visibility would apply but is not treated here as an anomaly.</t>
  </si>
  <si>
    <t>blurred_downsampled/0031.jpg</t>
  </si>
  <si>
    <t>Cracked and deteriorated rural/secondary asphalt road surface next to a grassy roadside.</t>
  </si>
  <si>
    <t>[{"id": "obj_1", "class": "roadway", "description": "Asphalt road surface occupying most of the frame with visible cracking and surface damage", "position": "central and right side of image, extending from bottom foreground toward upper background", "orientation": "aligned roughly bottom-to-top of the frame"}, {"id": "obj_2", "class": "road_damage", "description": "Large irregular area of severe cracking and depression in the asphalt", "position": "center of the roadway area, running longitudinally along the lane", "orientation": "elongated along the direction of travel"}, {"id": "obj_3", "class": "road_shoulder", "description": "Grassy roadside/shoulder bordering the paved surface", "position": "left edge of the frame, parallel to the road", "orientation": "parallel to roadway"}]</t>
  </si>
  <si>
    <t>[{"id": "anom_1", "related_objects": ["obj_1", "obj_2"], "type": "severely_deteriorated_pavement", "description": "Severe cracking and a probable pothole or depressed section in the lane, indicating structurally compromised pavement.", "risk_score_1_to_10": 6, "risk_target": ["drivers", "motorcyclists", "cyclists"], "region": {"x_center_norm": 0.55, "y_center_norm": 0.55, "width_norm": 0.4, "height_norm": 0.6}, "reasoning": "The road surface shows extensive alligator cracking with a large, darker, recessed area, consistent with a pothole or subsidence. This can cause loss of control or damage, especially for two-wheeled vehicles, and may lead drivers to swerve toward the shoulder or opposing lane. The scene appears to be a lower-speed rural/secondary road, moderating but not eliminating the risk."}]</t>
  </si>
  <si>
    <t>Geolocation is highly uncertain; appearance suggests a temperate rural or semi-rural setting with standard asphalt paving. Image is blurred, so exact depth of the damaged area cannot be confirmed, but pattern and contrast strongly indicate significant pavement failure.</t>
  </si>
  <si>
    <t>blurred_downsampled/C_000003_28.jpg</t>
  </si>
  <si>
    <t>Blurry dashcam-like view of an urban roadway intersection with several passenger cars and surrounding buildings.</t>
  </si>
  <si>
    <t>[{"id": "obj_1", "class": "car", "description": "Light-colored car on the left side of the frame, angled slightly toward the camera, possibly entering or crossing the lane.", "position": "left side of roadway, mid-foreground", "orientation": "angled slightly toward bottom-right / toward the camera"}, {"id": "obj_2", "class": "car", "description": "Light-colored car on the right side of the frame, oriented roughly parallel to the camera viewpoint.", "position": "right side of roadway, mid-foreground", "orientation": "facing roughly toward the left side of the frame"}, {"id": "obj_3", "class": "car", "description": "Multiple distant vehicles near the center background along the road.", "position": "center background on roadway", "orientation": "aligned with roadway direction"}, {"id": "obj_4", "class": "building", "description": "Multi-story structure on the left, likely commercial or office building.", "position": "left edge of scene", "orientation": "front facade facing roadway"}, {"id": "obj_5", "class": "building", "description": "Brick or masonry building on the right side of the street.", "position": "right background", "orientation": "facing toward roadway"}, {"id": "obj_6", "class": "roadway", "description": "Paved multi-lane urban road or intersection, surface appears unobstructed.", "position": "occupying most of lower and central part of image", "orientation": "extends from bottom center into distance toward center background"}]</t>
  </si>
  <si>
    <t>Location inference: low-confidence, but appears to be an urban roadway in a temperate region, possibly Europe or North America, based on car types and building styles. The image is heavily blurred, which limits precise assessment of traffic controls, lane markings, and any subtle hazards. Within what can be seen, vehicle positions and spacing appear typical for a city intersection, and no clear abnormal behavior, vulnerable road users, or environmental hazards are discernible.</t>
  </si>
  <si>
    <t>blurred_downsampled/0090.jpg</t>
  </si>
  <si>
    <t>Blurred image of a roadway in a green area with vehicles and a large animal crossing the road.</t>
  </si>
  <si>
    <t>[{"id": "obj_1", "class": "car", "description": "Large light-colored vehicle on the left side of the frame near the foreground, partially visible.", "position": "left foreground, close to camera, on or beside the roadway", "orientation": "facing roughly toward the background along the road"}, {"id": "obj_2", "class": "car", "description": "Dark-colored vehicle on the right side of the frame, further down the road.", "position": "right midground, parked or moving along the roadway edge", "orientation": "aligned with the road direction"}, {"id": "obj_3", "class": "large_animal", "description": "Large quadruped animal (likely cow or similar livestock) crossing the road laterally.", "position": "center midground, spanning across the lane(s) of the road", "orientation": "moving perpendicular to the traffic direction"}, {"id": "obj_4", "class": "road", "description": "Paved roadway extending from the foreground to the background through a wooded/green area.", "position": "occupies lower and central part of the scene", "orientation": "extends from bottom toward upper center of image"}, {"id": "obj_5", "class": "vegetation", "description": "Dense green trees or foliage along both sides of the roadway.", "position": "left and right background edges of the image", "orientation": "lining the sides of the road"}]</t>
  </si>
  <si>
    <t>[{"id": "anom_1", "related_objects": ["obj_1", "obj_2", "obj_3"], "type": "animal_on_roadway", "description": "A large animal is standing or walking across the roadway in an area used by vehicles, creating a collision hazard.", "risk_score_1_to_10": 7, "risk_target": ["drivers", "vehicle_occupants"], "region": {"x_center_norm": 0.55, "y_center_norm": 0.55, "width_norm": 0.35, "height_norm": 0.35}, "reasoning": "The animal occupies the vehicle path in the midground, forcing approaching drivers to slow or maneuver. Given the size of the animal and the apparent presence of at least two vehicles, an impact would pose significant risk of injury and vehicle damage, especially if visibility or reaction time is limited."}]</t>
  </si>
  <si>
    <t>Geographic context is uncertain due to strong blur; the scene appears to be a rural or semi-rural road where livestock may occasionally wander onto the roadway. Assessment is low- to medium-confidence but the presence of a large animal in the traffic lane is clear enough to treat as a notable hazard.</t>
  </si>
  <si>
    <t>blurred_downsampled/0056.png</t>
  </si>
  <si>
    <t>Blurred view of an urban sidewalk running alongside parked cars and large planters with bushes.</t>
  </si>
  <si>
    <t>[{"id": "obj_1", "class": "sidewalk", "description": "Paved pedestrian walkway extending from bottom center into the distance", "position": "central area of the image, running longitudinally from foreground to background", "orientation": "aligned roughly vertically in the image"}, {"id": "obj_2", "class": "car", "description": "Row of parked cars along the edge of the sidewalk", "position": "left side of the image, adjacent to sidewalk", "orientation": "parked parallel to the sidewalk, facing away from the camera"}, {"id": "obj_3", "class": "planter", "description": "Large planter with dense bush protruding partially into the walking space", "position": "right side of the sidewalk in mid‑foreground", "orientation": "fixed roadside planter perpendicular to walking direction"}, {"id": "obj_4", "class": "building", "description": "Urban building façades lining the street", "position": "right background and upper right of the image", "orientation": "aligned along street"}]</t>
  </si>
  <si>
    <t>[{"id": "anom_1", "related_objects": ["obj_1", "obj_3"], "type": "sidewalk_obstruction", "description": "Large planter and vegetation encroach on usable sidewalk width, narrowing pedestrian passage.", "risk_score_1_to_10": 4, "risk_target": ["pedestrians"], "region": {"x_center_norm": 0.75, "y_center_norm": 0.55, "width_norm": 0.35, "height_norm": 0.45}, "reasoning": "The planter with dense bush occupies a significant portion of the sidewalk on the right, forcing pedestrians to pass closer to the street and parked cars. This can impede wheelchair users or people with strollers and slightly increases the risk of trips or stepping off the curb, though there is no immediate traffic conflict visible."}]</t>
  </si>
  <si>
    <t>Geographic context is low-confidence; scene appears to be a generic urban street in a temperate or warm climate. Image blur limits precise assessment of additional hazards such as curb height or small obstacles.</t>
  </si>
  <si>
    <t>blurred_downsampled/0018.jpg</t>
  </si>
  <si>
    <t>Very blurred view of a paved surface beside a roadway with a dark circular opening or hole in the foreground.</t>
  </si>
  <si>
    <t>[{"id": "obj_1", "class": "road", "description": "Paved roadway extending into the background", "position": "upper and central part of the scene", "orientation": "extends horizontally across the image"}, {"id": "obj_2", "class": "sidewalk_or_shoulder", "description": "Paved or concrete area adjacent to the road", "position": "lower part of the scene near the foreground", "orientation": "runs roughly parallel to the road"}, {"id": "obj_3", "class": "hole_or_open_manhole", "description": "Dark circular opening in the paved surface, possibly a manhole or uncovered drain", "position": "foreground left/center on the sidewalk or road edge", "orientation": "opening facing upward"}]</t>
  </si>
  <si>
    <t>[{"id": "anom_1", "related_objects": ["obj_3", "obj_2", "obj_1"], "type": "open_hole_in_pedestrian_or_road_area", "description": "A dark circular opening that appears to be an uncovered manhole or hole in the pavement near the road, which could pose a tripping or falling hazard.", "risk_score_1_to_10": 7, "risk_target": ["pedestrians", "drivers", "cyclists"], "region": {"x_center_norm": 0.3, "y_center_norm": 0.65, "width_norm": 0.35, "height_norm": 0.35}, "reasoning": "The dark circular region in the foreground strongly suggests a void in the pavement. If it is an open hole or manhole near a road edge, pedestrians or cyclists could fall or trip, and a vehicle could be destabilized if it passes over the edge. Due to image blur, exact size and depth are uncertain, but typical urban context makes such an opening abnormal and hazardous."}]</t>
  </si>
  <si>
    <t>Location/country cannot be reliably inferred due to extreme blur; assessment of the dark circular area as an open hole is based on its shape and placement but remains somewhat uncertain.</t>
  </si>
  <si>
    <t>blurred_downsampled/7714.jpg</t>
  </si>
  <si>
    <t>Highly blurred view of what appears to be a paved surface with a circular opening or cover and some bulky object on top of or next to it.</t>
  </si>
  <si>
    <t>[{"id": "obj_1", "class": "ground_surface", "description": "Uniform paved or tiled ground covering most of the scene", "position": "entire background, forming the walking or driving surface", "orientation": "horizontal"}, {"id": "obj_2", "class": "circular_structure", "description": "Round, ring-like structure on the ground, possibly an open or partially open manhole or similar cover", "position": "slightly left of center of the image on the ground", "orientation": "lying flat on the ground plane"}, {"id": "obj_3", "class": "bulky_object", "description": "Bulky, irregular object resting on or next to the circular structure, possibly obstructing or associated with the opening", "position": "central area of the image on the ground, overlapping with obj_2", "orientation": "resting on the ground, low profile"}]</t>
  </si>
  <si>
    <t>[{"id": "anom_1", "related_objects": ["obj_2", "obj_3"], "type": "ground_obstruction_or_opening", "description": "Possible open or partially exposed ground opening (e.g., manhole) with a bulky object on or beside it, creating a tripping or falling hazard on a paved surface likely used by pedestrians or light vehicles.", "risk_score_1_to_10": 5, "risk_target": ["pedestrians", "cyclists"], "region": {"x_center_norm": 0.55, "y_center_norm": 0.6, "width_norm": 0.7, "height_norm": 0.6}, "reasoning": "Despite the heavy blur, there is a discernible circular structure on the ground with what looks like an opening or displaced cover and a bulky object lying over/near it. On a paved surface, such a feature in the walking path is abnormal and can cause trips or falls, or a more serious fall if the opening is not fully covered. Due to image blur, the precise nature is uncertain, so risk is rated moderate but not extreme."}]</t>
  </si>
  <si>
    <t>Geolocation and scene type are low-confidence due to extreme blur. The risk assessment is conservative and based on the interpretation that the circular object is some sort of ground opening or cover on a pedestrian or light-traffic surface.</t>
  </si>
  <si>
    <t>blurred_downsampled/503.jpg</t>
  </si>
  <si>
    <t>Extremely blurred image of a paved road in a mountainous or hilly area with no clearly visible vehicles or pedestrians.</t>
  </si>
  <si>
    <t>[{"id": "obj_1", "class": "roadway", "description": "Paved road surface with a faint central lane marking, extending from the bottom foreground toward the background", "position": "occupies most of the center and lower part of the scene", "orientation": "aligned roughly from bottom center toward upper center of the image"}, {"id": "obj_2", "class": "mountain_slope", "description": "Rocky or earthen slope along one side of the road", "position": "left side of the image", "orientation": "rising upward from the road edge"}, {"id": "obj_3", "class": "distant_terrain", "description": "Blurred outline of mountains or hills in the distance", "position": "upper right and upper central background", "orientation": "horizontal ridge line"}]</t>
  </si>
  <si>
    <t>Step 1 – Geolocation &amp; Context: The scene appears to be a rural or mountainous paved road, possibly in a dry or semi-arid region. Due to the extreme blur, determining a specific country or region is not possible; confidence is low. Assumption: standard two-lane road in a sparsely populated area. Step 2 – Scene Type: Roadway/traffic environment; natural-urban interface (mountainous roadside), with little or no visible built infrastructure. Step 3 – Scene Description: The image is highly defocused, but a paved road with a central marking and flanking natural terrain is discernible. No vehicles, people, animals, or specific infrastructure can be reliably identified. Steps 4–5 – Objects &amp; Anomalies: Only generic objects (roadway and surrounding terrain) can be recognized. No clear anomalies such as vehicles, pedestrians, debris, or environmental hazards are visible because of the blur. Therefore, no specific abnormal risk can be asserted. Step 6 – Risk Assessment: With no identifiable anomalies, the risk score is set to 0; this does not imply the real-world road is risk-free, only that no concrete hazard can be inferred from this frame. Step 7 – Spatial Localization: No anomalies to localize. Step 8 – Reasoning: The heavy blur prevents inspection for finer details like cracks, landslides, roadside barriers, or other traffic. To avoid incorrect assumptions, analysis remains conservative and limited to coarse features that are clearly present. Step 9 – Overall Safety Impact Summary: Based on visible information alone, the situation appears neutral with no observable hazards, so the scene is categorized as safe by default.</t>
  </si>
  <si>
    <t>blurred_downsampled/anomaly_074.png</t>
  </si>
  <si>
    <t>Very blurry image of a sidewalk next to a wall with foliage and a line of parked vehicles, with at least one pedestrian present.</t>
  </si>
  <si>
    <t>[{"id": "obj_1", "class": "pedestrian", "description": "Single person walking along the sidewalk near the left side of the frame, body angled toward the camera.", "position": "left side of sidewalk, close to parked vehicles", "orientation": "facing roughly toward the camera, moving along the path"}, {"id": "obj_2", "class": "parked_vehicles", "description": "Row of vehicles parked along the edge of the sidewalk on the left side of the image.", "position": "left edge adjacent to sidewalk", "orientation": "aligned parallel to the sidewalk"}, {"id": "obj_3", "class": "wall_with_vegetation", "description": "Tall wall with dense vegetation on top or along it, running along the right side of the sidewalk.", "position": "right boundary of the sidewalk", "orientation": "parallel to sidewalk"}, {"id": "obj_4", "class": "sidewalk", "description": "Paved pedestrian walkway running through the center of the scene between parked vehicles and wall.", "position": "center of image, extending from foreground to background", "orientation": "longitudinal, away from camera"}]</t>
  </si>
  <si>
    <t>Location and cultural context are highly uncertain due to extreme blur; visible elements are consistent with a generic urban sidewalk. No clear anomalies or abnormal risks can be confidently identified from this single, low-resolution frame.</t>
  </si>
  <si>
    <t>blurred_downsampled/1052.jpg</t>
  </si>
  <si>
    <t>Urban street or paved area with a large open hole in the ground and a cyclist passing nearby.</t>
  </si>
  <si>
    <t>[{"id": "obj_1", "class": "hole", "description": "Large circular open hole in the pavement, possibly an uncovered manhole or excavation", "position": "foreground center of the paved surface", "orientation": "opening facing upward"}, {"id": "obj_2", "class": "cyclist", "description": "Person riding a bicycle on the paved surface near the hole", "position": "upper part of the image, slightly left of center", "orientation": "moving roughly left-to-right or along the pavement"}, {"id": "obj_3", "class": "paved_surface", "description": "Flat paved ground or roadway where the hole and cyclist are located", "position": "covers most of the image", "orientation": "horizontal ground plane"}]</t>
  </si>
  <si>
    <t>[{"id": "anom_1", "related_objects": ["obj_1", "obj_2"], "type": "unprotected_open_hole", "description": "A large open hole in the pavement without visible barriers or warnings, close to where a cyclist is traveling.", "risk_score_1_to_10": 8, "risk_target": ["cyclists", "pedestrians", "drivers"], "region": {"x_center_norm": 0.5, "y_center_norm": 0.65, "width_norm": 0.5, "height_norm": 0.5}, "reasoning": "An uncovered manhole-sized opening in a traffic or pedestrian area presents a high fall hazard. The presence of a cyclist nearby increases the chance of collision or loss of control, especially if the hole is not clearly marked."}]</t>
  </si>
  <si>
    <t>Geolocation is low-confidence; generic urban or peri-urban environment inferred from paved surface and cyclist. Primary safety issue is the unguarded open hole in an active movement space.</t>
  </si>
  <si>
    <t>blurred_downsampled/clm_s_01_2011-11-28-15-00.png</t>
  </si>
  <si>
    <t>Heavily blurred coastal scene with ocean waves, sandy beach, and adjacent urban buildings and palm trees, viewed from elevation.</t>
  </si>
  <si>
    <t>[{"id": "obj_1", "class": "coastline", "description": "Curved shoreline with sandy beach along right side of image where waves are breaking", "position": "mid to right side of scene, stretching from center to upper right", "orientation": "shoreline roughly diagonal from lower right toward upper left"}, {"id": "obj_2", "class": "ocean", "description": "Rough sea surface with visible white wave crests approaching the shore", "position": "right and upper half of scene beyond the beach", "orientation": "waves moving roughly toward the beach"}, {"id": "obj_3", "class": "buildings", "description": "Cluster of low- to mid-rise urban buildings near the beachfront", "position": "left and lower left portions of the image close to the beach", "orientation": "aligned parallel to coastline"}, {"id": "obj_4", "class": "vegetation", "description": "Row of tall palm trees along or near the beachfront and buildings", "position": "lower and lower-right parts of the scene", "orientation": "vertical trunks, roughly parallel to one another"}]</t>
  </si>
  <si>
    <t>Image is extremely blurred, preventing identification of people, vehicles, or specific hazards. Sea appears somewhat rough but without clearly visible swimmers or craft, so no concrete anomaly can be confirmed.</t>
  </si>
  <si>
    <t>blurred_downsampled/0091.jpg</t>
  </si>
  <si>
    <t>Daytime view of a lightly built-up residential street with an unpaved dirt road, sparse vehicles, and roadside vegetation.</t>
  </si>
  <si>
    <t>[{"id": "obj_1", "class": "roadway", "description": "Wide unpaved dirt road running from foreground toward the background center of the image", "position": "center foreground to center background", "orientation": "aligned roughly along the image vertical axis"}, {"id": "obj_2", "class": "vehicle", "description": "Light-colored vehicle parked or moving in the distance near the center of the road", "position": "center background", "orientation": "facing toward or away from camera along road"}, {"id": "obj_3", "class": "vehicle", "description": "Vehicle near buildings on the left side of the scene", "position": "left midground", "orientation": "roughly parallel to road"}, {"id": "obj_4", "class": "buildings", "description": "Low-rise residential or small commercial buildings along both sides of the road", "position": "left and right edges of scene", "orientation": "fronts facing the road"}, {"id": "obj_5", "class": "utility_poles_and_lines", "description": "Series of utility poles with overhead cables running along the right side of the road", "position": "right edge from foreground to background", "orientation": "cables running roughly horizontally across upper-right area"}, {"id": "obj_6", "class": "tree", "description": "Large tree overhanging the road near the background center", "position": "center background", "orientation": "branches extending over road"}, {"id": "obj_7", "class": "vegetation", "description": "Grass and bare ground along road shoulders", "position": "both sides of road, mainly foreground", "orientation": "n/a"}]</t>
  </si>
  <si>
    <t>Step 1 – Geolocation &amp; Context: The unpaved dirt road, single-story houses, overhead utility lines, and vegetation suggest a low-traffic residential area in a warm-climate region, possibly Latin America or a similar environment. Confidence is low due to heavy blur, which obscures signage and finer details. Step 2 – Scene Type: Roadway/traffic environment within a residential urban or peri-urban context. Step 3 – Scene Description: Image shows a straight dirt road with some tire tracks, flanked by grass and modest buildings, under clear daylight. Few vehicles are visible; no clearly discernible pedestrians or animals can be identified because of the blur. Step 5–8 – Anomaly &amp; Risk Reasoning: No specific abnormal behaviors or hazardous conditions are clearly visible; the road quality is poor but appears typical for an unpaved residential street in such contexts. Potholes or ruts may exist but cannot be reliably distinguished given the low resolution, so they are not marked as explicit anomalies. Therefore no discrete anomalies are listed and overall risk is set to 0, representing no clearly identifiable abnormal or acute safety threat in the frame.</t>
  </si>
  <si>
    <t>blurred_downsampled/0016.jpg</t>
  </si>
  <si>
    <t>Extremely blurred image with an indistinct elongated object lying on a light-colored ground surface.</t>
  </si>
  <si>
    <t>[{"id": "obj_1", "class": "unknown_object", "description": "Elongated brownish object lying on a flat, light-colored surface near the center of the frame; details indiscernible due to strong blur.", "position": "center of the scene on the ground", "orientation": "roughly horizontal across the frame"}]</t>
  </si>
  <si>
    <t>Step 1 – Geolocation &amp; Context: The image is too blurred to confidently identify geographic or cultural context. Surface appears like light pavement, sand, or concrete, but this is speculative. Confidence: low.
Step 2 – Scene Type: Potentially an outdoor ground surface; not enough information to reliably classify as road, sidewalk, or natural area.
Step 3 – Scene Description: Only a highly blurred, elongated object on a uniform light background is visible; no discernible humans, vehicles, or infrastructure.
Step 4 – Object Identification: One undefined object (obj_1) on the ground; could be many things, but nothing can be confirmed visually.
Step 5 – Anomaly Detection: Because the content, scale, and environment are not identifiable, no specific anomaly can be reliably determined.
Step 6 – Risk Assessment: With no confirmed hazards, overall risk is set to 0. Any further inference about danger would be speculation beyond the visible evidence.
Step 7 – Spatial Localization: The only visible object is generally centered, but due to blur, precise bounding is not meaningful; anomalies list is empty, so no regions returned.
Step 8 – Reasoning: The heavy blur prevents recognizing whether the object is hazardous (e.g., debris, animal, equipment). Without clear contextual cues (roads, people, vehicles, water, etc.), it is not possible to argue for a concrete safety risk.
Step 9 – Overall Safety Impact Summary: Scene cannot be reliably assessed; no explicit hazards are visible, so it is treated as having no detectable anomaly or abnormal risk.</t>
  </si>
  <si>
    <t>blurred_downsampled/11.jpg</t>
  </si>
  <si>
    <t>Close-up of a marked bicycle lane with a large water-filled pothole intruding into the lane.</t>
  </si>
  <si>
    <t>[{"id": "obj_1", "class": "bicycle_lane_marking", "description": "Painted bicycle symbol and green surfacing on pavement indicating a bike lane", "position": "left half of image, on the pavement surface", "orientation": "aligned roughly vertically along the lane direction"}, {"id": "obj_2", "class": "pothole_with_water", "description": "Large, irregular pothole filled with water in the pavement surface at the edge of the bike lane and adjacent roadway", "position": "right-center of image, straddling the border between green bike lane surface and darker asphalt", "orientation": "static road defect"}, {"id": "obj_3", "class": "road_surface", "description": "General asphalt pavement including bike lane area and adjacent vehicular lane", "position": "entire image background", "orientation": "horizontal ground plane"}]</t>
  </si>
  <si>
    <t>[{"id": "anom_1", "related_objects": ["obj_1", "obj_2"], "type": "pothole_in_cycling_infrastructure", "description": "A sizable, water-filled pothole encroaches into a designated bicycle lane, creating a hazard for cyclists who may not see the depth or edges clearly.", "risk_score_1_to_10": 7, "risk_target": ["cyclists", "e-scooter_riders"], "region": {"x_center_norm": 0.68, "y_center_norm": 0.46, "width_norm": 0.32, "height_norm": 0.46}, "reasoning": "The pothole is large relative to the width of the bike lane and appears partly within the main cycling path. Water obscures its depth and shape, increasing the risk of a cyclist’s front wheel getting caught or slipping, which could cause loss of control and falls, particularly at typical urban cycling speeds."}]</t>
  </si>
  <si>
    <t>Step 1 – Geolocation &amp; Context: The green painted lane with a bike symbol suggests an urban cycling lane common in many cities in Europe, North America, and East Asia; confidence is low due to the image being blurred and lacking text or distinctive signage. Step 2 – Scene Type: Roadway/traffic environment and dedicated bicycle/pedestrian infrastructure. No pedestrians or vehicles are visible, but the infrastructure condition poses a notable safety risk, especially in wet conditions or low light.</t>
  </si>
  <si>
    <t>blurred_downsampled/0088.jpg</t>
  </si>
  <si>
    <t>Rural roadway in open countryside with a large animal standing in the middle of the wet road and a car approaching, creating a collision hazard.</t>
  </si>
  <si>
    <t>[{"id": "obj_1", "class": "animal", "description": "Large hoofed animal standing in the middle of the roadway near the center of the frame", "position": "center of the traffic lane directly ahead of the camera vehicle", "orientation": "roughly side-on to the camera, body across the lane"}, {"id": "obj_2", "class": "car", "description": "Oncoming or ahead vehicle with headlights on, left side of the road", "position": "left side of the road, some distance ahead", "orientation": "facing toward the camera"}, {"id": "obj_3", "class": "roadway", "description": "Two-lane paved rural road in open landscape, appears wet", "position": "occupies lower and central part of the image", "orientation": "extends from bottom foreground toward horizon"}, {"id": "obj_4", "class": "camera_vehicle", "description": "Implied vehicle from which the image is taken, driving on the road toward the animal", "position": "foreground, bottom edge (not directly visible but inferred)", "orientation": "pointing along the road toward the animal and other car"}, {"id": "obj_5", "class": "environment", "description": "Open, grassy or scrub rural landscape under overcast sky", "position": "background surrounding the road", "orientation": "not applicable"}]</t>
  </si>
  <si>
    <t>[{"id": "anom_1", "related_objects": ["obj_1", "obj_2", "obj_4", "obj_3"], "type": "animal_on_roadway", "description": "A large animal is standing in the middle of an active rural road, creating a potential collision risk for both the camera vehicle and the oncoming/nearby car.", "risk_score_1_to_10": 7, "risk_target": ["drivers"], "region": {"x_center_norm": 0.5, "y_center_norm": 0.55, "width_norm": 0.35, "height_norm": 0.5}, "reasoning": "The animal occupies the travel lane on a narrow rural road with at least one vehicle visible and another implied (the camera vehicle). In rural settings wildlife on roads is not rare, but it remains hazardous because of limited maneuvering space and potentially higher speeds. Wet pavement increases stopping distance. A collision with a large animal can cause severe damage and injury, so this is a high, though not yet imminent, risk."}]</t>
  </si>
  <si>
    <t>Geolocation confidence is low; this could be a rural area in many temperate regions. Overcast sky and wet road suggest rain, which heightens braking distance. Image is very blurred, so specific animal type and exact distances are uncertain; risk scoring is conservative.</t>
  </si>
  <si>
    <t>blurred_downsampled/0028.jpg</t>
  </si>
  <si>
    <t>Suburban or urban roadway with moving cars and multiple large potholes in the right lane near the curb.</t>
  </si>
  <si>
    <t>[{"id": "obj_1", "class": "car", "description": "Dark green SUV-like vehicle traveling along the near lane from left to right", "position": "left side of image, occupying near lane close to camera", "orientation": "moving roughly rightward along the road"}, {"id": "obj_2", "class": "car", "description": "Light-colored car in the farther lane ahead of the green vehicle", "position": "upper-center of image in the middle distance", "orientation": "moving rightward along the road"}, {"id": "obj_3", "class": "roadway", "description": "Paved multi-lane road with visible edge and shoulder on the right side", "position": "extends horizontally across image, foreground to background", "orientation": "lanes oriented roughly left–right"}, {"id": "obj_4", "class": "pothole", "description": "Series of large potholes or degraded patches in the asphalt along the right side of the near lane", "position": "lower-right quadrant of image along edge of near lane", "orientation": "aligned in a row parallel to traffic direction"}]</t>
  </si>
  <si>
    <t>[{"id": "anom_1", "related_objects": ["obj_1", "obj_4", "obj_3"], "type": "road_surface_damage_potholes", "description": "Multiple sizable potholes and road surface damage in the vehicle wheel path near the curb, posing a hazard to passing vehicles.", "risk_score_1_to_10": 6, "risk_target": ["drivers", "vehicle_occupants", "cyclists"], "region": {"x_center_norm": 0.68, "y_center_norm": 0.72, "width_norm": 0.45, "height_norm": 0.35}, "reasoning": "The cluster of deep, bright-edged depressions along the right side of the near lane are consistent with potholes. Their size and placement in or near the wheel track create a moderate risk of tire or suspension damage and potential loss of control, especially if a vehicle swerves suddenly to avoid them. Risk is elevated for smaller vehicles or bicycles that might use this edge of the lane."}]</t>
  </si>
  <si>
    <t>Geolocation is low-confidence; the environment resembles a temperate, car-oriented suburban road in North America or Europe. No pedestrians are visible, so risk is primarily to motor vehicles and any potential cyclists using the roadway edge.</t>
  </si>
  <si>
    <t>blurred_downsampled/0060.png</t>
  </si>
  <si>
    <t>Blurry daytime view of a sidewalk area with plants and a low wall next to a landscaped green space; no clearly visible people or vehicles.</t>
  </si>
  <si>
    <t>[{"id": "obj_1", "class": "sidewalk", "description": "Paved pedestrian walkway in the foreground and lower half of the image", "position": "foreground and lower-center extending to lower-left", "orientation": "aligned roughly bottom to top of the frame"}, {"id": "obj_2", "class": "low_wall", "description": "Short stone or concrete retaining wall separating sidewalk from raised green area", "position": "right-center of the image running horizontally", "orientation": "horizontal across mid-right of frame"}, {"id": "obj_3", "class": "vegetation", "description": "Bushes and small plants near the wall and in planters", "position": "center and right side, some in mid-left", "orientation": "upright"}, {"id": "obj_4", "class": "green_space", "description": "Grassy or planted area behind the low wall", "position": "upper-right quadrant of the image", "orientation": "horizontal patch"}]</t>
  </si>
  <si>
    <t>Geolocation &amp; context (low-confidence): Likely an urban or suburban pedestrian area in a temperate or warm-climate region, inferred from sidewalk, landscaping, and vegetation. Image is very blurred, limiting detail; no definite hazards or unusual behaviors are discernible, and no people or vehicles are clearly identifiable. With only this frame and poor resolution, no specific anomaly can be reliably detected.</t>
  </si>
  <si>
    <t>blurred_downsampled/7001.jpg</t>
  </si>
  <si>
    <t>Straight rural or semi-rural two-lane road with a central yellow marking and a small, distant vehicle or person in the middle of the lane; surroundings are grassy with scattered trees.</t>
  </si>
  <si>
    <t>[{"id": "obj_1", "class": "roadway", "description": "Straight two-lane paved road with central dashed yellow line extending from bottom foreground to horizon", "position": "occupies central vertical band of the scene from bottom edge to top center", "orientation": "aligned roughly vertically, receding away from the viewer"}, {"id": "obj_2", "class": "vehicle_or_motorcyclist", "description": "Small, dark, blurred object consistent with a single vehicle or motorcyclist located on the roadway ahead", "position": "center of the road, roughly mid-height in the image", "orientation": "facing away from or toward the camera along the road axis; exact direction unclear"}, {"id": "obj_3", "class": "road_markings", "description": "Yellow dashed centerline markings on the roadway", "position": "middle of the road, extending from lower center towards image center", "orientation": "aligned with the road direction"}, {"id": "obj_4", "class": "vegetation", "description": "Grassy shoulders and scattered trees or shrubs on both sides of the road", "position": "left and right sides of the image bordering the road", "orientation": "static background environment"}]</t>
  </si>
  <si>
    <t>The image is heavily blurred, limiting precise identification of objects and specific hazards. Within what can be discerned, no clear abnormal behavior or explicit hazard is visible beyond normal rural road conditions.</t>
  </si>
  <si>
    <t>blurred_downsampled/clm_s_01_2011-11-29-07-00.png</t>
  </si>
  <si>
    <t>Heavily blurred coastal urban scene with buildings, palm trees, sandy beach, and rough ocean waves.</t>
  </si>
  <si>
    <t>[{"id": "obj_1", "class": "coastline", "description": "Sandy beach running horizontally along the middle-right of the image adjacent to the sea", "position": "central to right side of scene between urban area and water", "orientation": "roughly horizontal shoreline"}, {"id": "obj_2", "class": "ocean", "description": "Large body of water with visible white waves and surf", "position": "right and upper-right portion of the image", "orientation": "waves moving toward the shore"}, {"id": "obj_3", "class": "urban_buildings", "description": "Cluster of multi-story buildings near the coast", "position": "left and upper-left portions of the image close to shoreline", "orientation": "facing toward the sea"}, {"id": "obj_4", "class": "vegetation", "description": "Tall palm trees and other greenery near the beachfront", "position": "lower and central portions of the image between buildings and beach", "orientation": "upright vertical trunks"}]</t>
  </si>
  <si>
    <t>Step 1 – Likely a tropical or subtropical coastal city, possibly in a region such as South Asia, Southeast Asia, or Latin America, inferred from palm trees, dense coastal buildings, and broad sandy beach; confidence is low due to extreme blur. Step 2 – Scene type: coastal/aquatic environment and residential/mixed urban. Step 3 – No clearly visible people, vehicles, or specific hazards can be distinguished because of strong blur. Waves appear somewhat rough, but without identifiable swimmers, boats, or infrastructure issues, no discrete anomaly can be reliably labeled. All risk assessment is therefore conservative, resulting in no explicit anomaly and an overall score of 0.</t>
  </si>
  <si>
    <t>blurred_downsampled/7004.jpg</t>
  </si>
  <si>
    <t>Single vehicle traveling on a multi-lane rural road with surrounding vegetation; image is heavily blurred so only coarse features are visible.</t>
  </si>
  <si>
    <t>[{"id": "obj_1", "class": "car", "description": "Single car traveling along a multi-lane paved road, roughly in the lower-left quadrant of the image", "position": "on roadway, slightly left of image center, moving along the lane", "orientation": "aligned with road direction, likely moving away from or toward the camera along the road axis"}, {"id": "obj_2", "class": "roadway", "description": "Curving multi-lane paved road extending from bottom center toward upper left with lane markings faintly visible", "position": "dominant central structure from foreground to background", "orientation": "curving from lower center toward upper left"}, {"id": "obj_3", "class": "vegetation", "description": "Green vegetated areas and possibly rocky embankments along both sides of the road", "position": "bordering both sides of the road, especially right side edge and far left", "orientation": "parallel to roadway edges"}]</t>
  </si>
  <si>
    <t>Step 1 – Geolocation &amp; Context: The scene appears to be a rural or semi-rural roadway with open vegetation and possibly rocky slopes. Lane markings and general road design resemble those common in many temperate regions (e.g., Europe or North America), but the image is too blurred for signage or precise markings, so location confidence is low. Step 2 – Scene Type: Roadway/traffic environment in a natural-urban interface (rural road through natural landscape). Step 3 – Description: A single car is traveling on a curved, multi-lane paved road flanked by vegetation and possible rock faces; no pedestrians or additional vehicles are clearly visible. Step 4 – Object Identification: Only a car, roadway, and surrounding vegetation/embankments can be reliably identified due to extreme blur. Step 5 – Anomaly Detection: No clear anomalies can be determined; there is no visible wrong-way driving, off-road travel, obstacles, or environmental hazards discernible at this resolution. Step 6 – Risk Assessment: Since no specific anomaly is visible, no targeted risk scoring beyond baseline driving risk is assigned. Step 7 – Localization: Because there are no anomalies identified, no regions of interest are provided. Step 8 – Reasoning: The heavy blur prevents detecting finer details such as damaged infrastructure, animals, pedestrians, or subtle traffic violations, so the assessment is conservative and limited to what can be clearly inferred. Overall, the situation appears normal for a vehicle traveling on a rural road, with no obvious elevated hazards visible in this frame.</t>
  </si>
  <si>
    <t>blurred_downsampled/0012.jpg</t>
  </si>
  <si>
    <t>Extremely blurred close-up view of a roughly circular dark object on a flat light-colored surface, possibly ground or pavement.</t>
  </si>
  <si>
    <t>[{"id": "obj_1", "class": "unknown_fixed_object", "description": "Dark roughly circular or polygonal object centered in the frame on a lighter flat surface, possibly a manhole cover or similar feature.", "position": "center of scene on flat surface", "orientation": "top-down view; orientation indeterminate due to blur"}, {"id": "obj_2", "class": "flat_surface", "description": "Light-colored flat background surface, possibly pavement or concrete.", "position": "entire background of scene", "orientation": "horizontal plane, viewed from above"}]</t>
  </si>
  <si>
    <t>The image is so blurred that reliable identification of location, context, or specific hazards is not possible. No clear anomalies or active risks can be inferred from this frame alone.</t>
  </si>
  <si>
    <t>blurred_downsampled/1002.jpg</t>
  </si>
  <si>
    <t>Extremely blurred close-up of a circular dark object on a lighter flat surface, possibly a manhole or utility cover on pavement.</t>
  </si>
  <si>
    <t>[{"id": "obj_1", "class": "unknown_infrastructure", "description": "Dark circular feature on a lighter flat background, possibly a manhole or utility cover", "position": "center of the image", "orientation": "top-down view"}, {"id": "obj_2", "class": "flat_surface", "description": "Light-colored flat background, possibly pavement or concrete", "position": "fills entire frame around central circular feature", "orientation": "horizontal surface"}]</t>
  </si>
  <si>
    <t>The image is highly blurred, making precise identification and safety assessment difficult. No clear humans, vehicles, open holes, or other distinct hazards are visible. Any potential risks associated with the central object (e.g., an open or damaged manhole) cannot be confirmed from this frame.</t>
  </si>
  <si>
    <t>blurred_downsampled/normal_102.png</t>
  </si>
  <si>
    <t>Urban sidewalk or curbside area with a parked electric scooter in a marked blue box near a shelter or pole.</t>
  </si>
  <si>
    <t>[{"id": "obj_1", "class": "electric_scooter", "description": "Single standing electric scooter positioned within a blue rectangular marking on the ground near a pole or signpost", "position": "foreground center on paved surface, close to curbside or sidewalk edge", "orientation": "aligned roughly along the diagonal of the blue box"}, {"id": "obj_2", "class": "pole_or_signpost", "description": "Vertical pole or signpost next to the scooter, possibly for parking or information", "position": "center of image, slightly behind scooter", "orientation": "vertical"}, {"id": "obj_3", "class": "shelter_or_structure", "description": "Overhead structure or shelter covering part of the area, possibly a bus stop or shade canopy", "position": "upper left and center background above scooter", "orientation": "horizontal roof over supports"}, {"id": "obj_4", "class": "paved_surface", "description": "Paved ground with blue painted rectangular markings likely indicating a designated scooter or bike parking bay", "position": "entire lower half of the image", "orientation": "horizontal plane"}]</t>
  </si>
  <si>
    <t>Step 1 – Geolocation &amp; Context: The scene appears to be in an urban environment in a region where shared electric scooters and designated parking bays are common (e.g., Europe or North America). Blue painted box and street furniture suggest organized curb management. Confidence is low due to heavy blur and lack of readable text or clear regional markers. Step 2 – Scene Type: This is primarily a sidewalk/pedestrian zone and mixed urban curbside context, not an active roadway. Step 3–5 – No clear anomalies: The scooter appears to be parked within a marked area, not obstructing visible pedestrian flows or in the roadway. No damaged infrastructure, flooding, or other irregularities are evident at this resolution. Thus no abnormal safety risk can be reliably identified in this single frame.</t>
  </si>
  <si>
    <t>blurred_downsampled/0014.jpg</t>
  </si>
  <si>
    <t>Urban residential street with a severely damaged section of roadway surrounding a raised manhole cover.</t>
  </si>
  <si>
    <t>[{"id": "obj_1", "class": "roadway", "description": "Main paved street extending through the scene with visible surface wear and cracks", "position": "covers most of the lower and central part of the image", "orientation": "aligned horizontally into the distance"}, {"id": "obj_2", "class": "manhole_cover", "description": "Circular manhole cover sitting above a sunken and broken section of asphalt", "position": "foreground near the bottom center of the roadway", "orientation": "top surface roughly horizontal"}, {"id": "obj_3", "class": "pothole", "description": "Large irregular pothole or crater-like damaged area around the manhole cover", "position": "foreground around and adjacent to the manhole cover at bottom center", "orientation": "depression in the roadway surface"}, {"id": "obj_4", "class": "buildings", "description": "Residential or small mixed-use buildings lining both sides of the street", "position": "left and right background edges of the image", "orientation": "facing the street"}, {"id": "obj_5", "class": "utility_poles", "description": "Series of utility poles with overhead wires along the street", "position": "both sides of the street receding into the distance", "orientation": "vertical poles with cables running along street direction"}]</t>
  </si>
  <si>
    <t>[{"id": "anom_1", "related_objects": ["obj_2", "obj_3", "obj_1"], "type": "road_surface_hazard", "description": "Raised manhole cover surrounded by a large pothole and extensively broken asphalt in the vehicle path.", "risk_score_1_to_10": 7, "risk_target": ["drivers", "cyclists", "motorcyclists"], "region": {"x_center_norm": 0.5, "y_center_norm": 0.78, "width_norm": 0.5, "height_norm": 0.35}, "reasoning": "The manhole appears higher than the surrounding road, which is heavily eroded, forming a significant pothole. Vehicles, especially two-wheelers, striking or attempting to dodge this defect at speed could lose control, damage tires or suspension, or swerve into other lanes. The hazard is central in the travel lane on what seems to be a normal urban street, so exposure is high."}]</t>
  </si>
  <si>
    <t>Step 1 – The architecture, detached houses, overhead utility lines, and general street layout suggest a North American residential or small-town environment; confidence is medium due to blur. Step 2 – Scene type is roadway/traffic in a residential urban area. The main identified risk is the severe surface defect at the manhole location; no other clear hazards or pedestrians are visible.</t>
  </si>
  <si>
    <t>blurred_downsampled/normal_183.png</t>
  </si>
  <si>
    <t>Blurred urban street/sidewalk scene with parked cars alongside a building and a signpost.</t>
  </si>
  <si>
    <t>[{"id": "obj_1", "class": "car", "description": "Parked car on the left side near the foreground along the curb", "position": "left side of frame, adjacent to sidewalk or curb", "orientation": "aligned parallel to street"}, {"id": "obj_2", "class": "car", "description": "Parked car more centrally located, slightly behind the left car", "position": "center of frame near curb", "orientation": "aligned parallel to street"}, {"id": "obj_3", "class": "signpost", "description": "Vertical post with a traffic or parking sign near the sidewalk", "position": "left side of frame, near boundary between sidewalk and street", "orientation": "upright"}, {"id": "obj_4", "class": "building", "description": "Multi-story residential or mixed-use building in the background", "position": "background across most of upper frame", "orientation": "façade facing street"}, {"id": "obj_5", "class": "sidewalk", "description": "Paved pedestrian walkway in the foreground with a reddish strip and lighter paving closer to camera", "position": "foreground bottom of frame", "orientation": "runs horizontally across image"}, {"id": "obj_6", "class": "vegetation", "description": "Trees or large shrubs in front of the building", "position": "upper central portion of frame", "orientation": "upright"}]</t>
  </si>
  <si>
    <t>Geolocation/context: medium-confidence guess of a European or Mediterranean urban residential street based on building style, sidewalk color pattern, and parked cars, but the strong blur prevents reading signage or markings. No clear unsafe behavior, damaged infrastructure, or environmental hazard is visible due to low resolution and blur; any finer-grained anomalies (e.g., improper parking, sidewalk obstruction) cannot be reliably assessed.</t>
  </si>
  <si>
    <t>blurred_downsampled/1053.jpg</t>
  </si>
  <si>
    <t>Very blurred view of a paved roadside or sidewalk next to a roadway, with what appears to be an open or dark hole/depression in the pavement near the camera.</t>
  </si>
  <si>
    <t>[{"id": "obj_1", "class": "roadway", "description": "Broad paved surface extending into the background, likely a road or wide path", "position": "upper and central part of the image", "orientation": "extends horizontally across the scene"}, {"id": "obj_2", "class": "sidewalk_or_shoulder", "description": "Narrower paved or concreted area adjacent to the main paved surface", "position": "lower part of the image near the camera", "orientation": "parallel to the roadway"}, {"id": "obj_3", "class": "hole_or_open_manhole", "description": "Dark circular or oval opening or deep depression in the paved surface, potentially an open manhole or uncovered drain", "position": "lower-left/central foreground area on the sidewalk or shoulder", "orientation": "opening facing upward"}]</t>
  </si>
  <si>
    <t>[{"id": "anom_1", "related_objects": ["obj_2", "obj_3"], "type": "open_hole_in_walkway", "description": "A large dark opening or deep depression is present in the walking/shoulder area without any clearly visible cover or barrier.", "risk_score_1_to_10": 7, "risk_target": ["pedestrians", "cyclists", "drivers"], "region": {"x_center_norm": 0.3, "y_center_norm": 0.7, "width_norm": 0.3, "height_norm": 0.3}, "reasoning": "The dark circular/oval area in the foreground appears to be an open hole or manhole in a paved walking or shoulder area. Without barriers or markings, pedestrians or cyclists could fall or trip, and a vehicle pulling onto the shoulder could be damaged. Even with the heavy blur, the shape and contrast suggest an unprotected opening, which is hazardous in most urban or roadside contexts."}]</t>
  </si>
  <si>
    <t>Geolocation is highly uncertain due to extreme blur; assumed generic urban/roadside setting. Risk score reflects typical danger from unprotected openings in pedestrian or shoulder areas.</t>
  </si>
  <si>
    <t>blurred_downsampled/0109.jpg</t>
  </si>
  <si>
    <t>Urban street with a yellow car and a green van ahead, surrounded by low- to mid-rise buildings and some pedestrians or cyclists at the roadside.</t>
  </si>
  <si>
    <t>[{"id": "obj_1", "class": "car", "description": "Yellow passenger car in the center of the lane directly ahead of the camera", "position": "center foreground on roadway", "orientation": "facing away from the camera, aligned with lane"}, {"id": "obj_2", "class": "van", "description": "Green van to the left of the yellow car, partially offset toward the middle of the road", "position": "left foreground on roadway", "orientation": "facing away from the camera, slightly angled"}, {"id": "obj_3", "class": "building", "description": "Multi-story light-colored building on the right side of the street", "position": "right background", "orientation": "front facade facing the street"}, {"id": "obj_4", "class": "building", "description": "Low-rise structures on the left side of the street", "position": "left background", "orientation": "facing street"}, {"id": "obj_5", "class": "tree", "description": "Large tree overhanging roadway area", "position": "upper left background", "orientation": "vertical trunk"}, {"id": "obj_6", "class": "pedestrian_or_cyclist", "description": "Indistinct human figure(s) near the right roadside close to intersection", "position": "right mid-ground near curb", "orientation": "approximate side/back view"}]</t>
  </si>
  <si>
    <t>Step 1 – Geolocation &amp; Context: The architecture, vehicle styles (notably a yellow taxi-like car and a green van), and trees suggest a mixed-use urban street possibly in a warm-climate region (e.g., parts of Africa or the Middle East), but the image is heavily blurred, so this is low-confidence. Step 2 – Scene Type: Roadway/traffic environment in a mixed urban area with buildings and pedestrians. Step 3 – Scene Description: The camera appears to be from another vehicle behind a yellow car, with a green van to the left and pedestrians or cyclists at the right edge near an intersection. Step 4 – Object Identification: Main safety-relevant elements are the two vehicles in front, roadside buildings, a tree, and one or more human figures on the right. Step 5 – Anomaly Detection: Due to the strong blur, no clear deviations from normal traffic behavior are reliably visible. The vehicles seem to be on the road and roughly aligned with traffic flow; pedestrians/cyclists are near the edge, which is typical in such contexts. No obvious road damage, flooding, or infrastructure hazards are discernible. Step 6 – Risk Assessment: Without a clear visible anomaly, no specific elevated risk can be assigned beyond ordinary urban driving conditions, so risk score is 0. Step 7 – Spatial Localization: Not applicable since no anomalies are confidently identified. Step 8 – Reasoning: The low image clarity prevents fine-grained detection of potentially risky behaviors (e.g., close passes, door opening, or wrong-way movement). Given this uncertainty, and in the absence of clear evidence of abnormality, the assessment remains conservative and records no anomaly. Step 9 – Overall Safety Impact: Scene appears as a typical low-speed urban traffic situation with vehicles and nearby pedestrians; classified as generally safe with no specific, identifiable abnormal hazard in this frame.</t>
  </si>
  <si>
    <t>blurred_downsampled/0053.jpg</t>
  </si>
  <si>
    <t>Large reptile crossing a two-lane rural road while several people and a vehicle are stopped nearby.</t>
  </si>
  <si>
    <t>[{"id": "obj_1", "class": "large_reptile", "description": "Large crocodilian-like animal lying across and moving over the center of the road", "position": "center foreground across both lanes of the road", "orientation": "body roughly perpendicular to the road, head to the right side of the frame"}, {"id": "obj_2", "class": "person", "description": "Standing human figure on left side of road near shoulder", "position": "left side of road, mid-ground", "orientation": "facing toward the animal and road"}, {"id": "obj_3", "class": "person", "description": "Standing human figure on right side of road near shoulder", "position": "right side of road, mid-ground", "orientation": "facing toward the animal and road"}, {"id": "obj_4", "class": "person", "description": "Another human figure further back near the vehicle", "position": "background area of the road", "orientation": "facing toward the animal/scene"}, {"id": "obj_5", "class": "car", "description": "Stopped car on the road behind the animal and people", "position": "background, aligned with the roadway", "orientation": "facing toward the camera / toward the animal"}, {"id": "obj_6", "class": "roadway", "description": "Two-lane paved rural road with a central yellow line", "position": "extending from foreground to background through center of image", "orientation": "diagonal from bottom center toward upper center"}, {"id": "obj_7", "class": "vegetation", "description": "Green grass and trees lining sides of the road", "position": "both sides of the roadway", "orientation": "along road edges"}]</t>
  </si>
  <si>
    <t>[{"id": "anom_1", "related_objects": ["obj_1", "obj_2", "obj_3", "obj_4", "obj_5"], "type": "large_wild_animal_on_roadway", "description": "A large crocodilian-type animal is occupying and crossing the roadway while people and at least one vehicle are in close proximity.", "risk_score_1_to_10": 8, "risk_target": ["drivers", "pedestrians"], "region": {"x_center_norm": 0.5, "y_center_norm": 0.65, "width_norm": 0.7, "height_norm": 0.35}, "reasoning": "The animal blocks the travel lanes, posing collision risk to vehicles and potential attack or defensive bite risk to nearby people. Even if traffic is temporarily stopped, the combination of a large wild animal and humans on an active road is a high, though not yet catastrophic, hazard."}]</t>
  </si>
  <si>
    <t>Step 1 – Geolocation &amp; Context: The road markings (solid yellow centerline), vegetation, and presence of a large crocodilian on a paved rural road suggest a warm, possibly subtropical region such as the southeastern United States, but the inference is low-confidence due to image blur. Step 2 – Scene Type: Rural roadway/traffic environment with adjacent vegetation. Step 5 – Anomaly Detection: The primary anomaly is the large wild animal on the road in proximity to people and a vehicle; no clear evidence of protective barriers or full traffic control is visible, so risks to both pedestrians and drivers are elevated.</t>
  </si>
  <si>
    <t>blurred_downsampled/0097.png</t>
  </si>
  <si>
    <t>Urban sidewalk or curbside zone with a parked e-scooter in a marked parking box near a pole or signpost.</t>
  </si>
  <si>
    <t>[{"id": "obj_1", "class": "electric_scooter", "description": "Single standing e-scooter positioned within a blue rectangular marking on the ground near the foreground center-right", "position": "on sidewalk or designated curbside area, roughly foreground center-right", "orientation": "aligned roughly along the diagonal of the marked box"}, {"id": "obj_2", "class": "sign_pole_or_post", "description": "Vertical pole or signpost immediately adjacent to the scooter within the same marked area", "position": "foreground center of image, attached to ground within blue box", "orientation": "vertical"}, {"id": "obj_3", "class": "sidewalk", "description": "Paved pedestrian surface with painted blue rectangular markings likely indicating scooter parking", "position": "covers most of the lower and middle part of the scene", "orientation": "horizontal plane"}]</t>
  </si>
  <si>
    <t>Step 1 – Geolocation &amp; Context: Likely a modern urban area in a temperate or warm region, with infrastructure consistent with European or North American cities that use painted curbside micromobility parking zones. Confidence: low-to-medium due to heavy blur; inference is based mainly on presence of shared e-scooter and blue box markings. Step 2 – Scene Type: Sidewalk / pedestrian zone in a mixed urban environment. Step 3 &amp; 4 – The main relevant element is a single e-scooter parked within a clearly marked blue rectangular zone next to a pole or sign, which appears to be a designated scooter parking area. Step 5 – No anomaly or abnormal risk detected: the scooter is not blocking a visible walkway, doorway, or ramp and seems to be correctly positioned within a dedicated box. Given only this frame and strong blur, there is no clear evidence of unsafe behavior, obstruction, or infrastructure hazard. Therefore, overall the scene appears safe under normal urban sidewalk standards.</t>
  </si>
  <si>
    <t>blurred_downsampled/0025.jpg</t>
  </si>
  <si>
    <t>Heavily congested multilane urban roadway with dense traffic and near-gridlock conditions.</t>
  </si>
  <si>
    <t>[{"id": "obj_1", "class": "roadway", "description": "Multilane divided road extending into the distance, wet or reflective surface", "position": "center of scene, running bottom-center toward upper-center", "orientation": "aligned roughly vertically from foreground to background"}, {"id": "obj_2", "class": "vehicles", "description": "Large number of mixed vehicles including cars, buses, and possibly trucks packed closely together", "position": "throughout the roadway area, filling almost all visible lanes from bottom to upper-center", "orientation": "mostly aligned with road direction, facing toward and away from camera in different carriageways"}, {"id": "obj_3", "class": "vegetation", "description": "Trees and greenery along sides of the roadway", "position": "left and right edges of the image flanking the road", "orientation": "vertical"}, {"id": "obj_4", "class": "urban_background", "description": "Distant built-up area or structures beyond the roadway", "position": "upper portion of the image in the background", "orientation": "horizontal band"}]</t>
  </si>
  <si>
    <t>[{"id": "anom_1", "related_objects": ["obj_1", "obj_2"], "type": "severe_traffic_congestion", "description": "Roadway is extremely congested with vehicles packed closely together, likely forming a traffic jam and reducing mobility and emergency access.", "risk_score_1_to_10": 5, "risk_target": ["drivers", "vehicle_occupants", "general_civilians"], "region": {"x_center_norm": 0.5, "y_center_norm": 0.6, "width_norm": 1.0, "height_norm": 0.7}, "reasoning": "The entire visible carriageway is filled with stationary or near-stationary vehicles in multiple lanes, indicating gridlock. This is abnormal relative to free-flow conditions and can increase risk of minor collisions, road rage, delay of emergency services, and exposure to pollution, though there is no immediate evidence of crashes or acute danger."}]</t>
  </si>
  <si>
    <t>Step 1 – Geolocation &amp; Context: Based on mixed vehicle types including buses and what appears to be a dense, possibly developing-world urban corridor with greenery and hazy air, this is likely a large city in South or Southeast Asia, but the image is heavily blurred so confidence is low. Risk assessment assumes norms of congested urban traffic in such environments. No clear pedestrians or specific crashes are visible due to blur; analysis focuses on systemic congestion rather than discrete incidents.</t>
  </si>
  <si>
    <t>blurred_downsampled/0085.jpg</t>
  </si>
  <si>
    <t>Dashcam view on a snowy rural roadway with another car very close ahead in the adjacent lane.</t>
  </si>
  <si>
    <t>[{"id": "obj_1", "class": "car", "description": "Silver or light-colored car in front-right of the camera vehicle, partially ahead, appearing close in distance.", "position": "front-right lane relative to camera vehicle, near lower-right quadrant of the frame", "orientation": "traveling forward in the same direction as the camera vehicle"}, {"id": "obj_2", "class": "roadway", "description": "Two-lane paved road extending into the distance with snow-covered shoulders on both sides.", "position": "center of frame extending from bottom to horizon", "orientation": "longitudinal, aligned with direction of travel"}, {"id": "obj_3", "class": "snow/ice", "description": "Snow-covered ground along both sides of the road, suggesting cold and possibly slippery conditions.", "position": "far left and far right edges of the scene", "orientation": "parallel to roadway"}, {"id": "obj_4", "class": "camera_vehicle", "description": "Implied dashcam host vehicle following on the road behind the visible car.", "position": "bottom foreground, off-screen except for part of dashboard", "orientation": "traveling forward along the roadway"}]</t>
  </si>
  <si>
    <t>[{"id": "anom_1", "related_objects": ["obj_1", "obj_4"], "type": "close following distance on potentially icy road", "description": "The lead car appears to be at a very short headway from the camera vehicle on a winter road with snow on the sides, implying reduced braking distance and increased collision risk.", "risk_score_1_to_10": 6, "risk_target": ["drivers"], "region": {"x_center_norm": 0.72, "y_center_norm": 0.55, "width_norm": 0.4, "height_norm": 0.5}, "reasoning": "Given visible snow around the roadway, road friction is likely reduced. The lead car occupies a large portion of the frame in the near field, indicating it is quite close to the camera vehicle. In snowy or icy conditions, recommended following distances are longer than on dry pavement. This short gap increases the chance of a rear-end collision if sudden braking occurs."}]</t>
  </si>
  <si>
    <t>Geolocation is low-confidence; environment suggests a cold, possibly northern region with open flat terrain. Image is blurred, so precise lane markings, traffic density, and exact gap distance cannot be confirmed; risk assessment is conservative based on apparent proximity and winter conditions.</t>
  </si>
  <si>
    <t>blurred_downsampled/0037.jpg</t>
  </si>
  <si>
    <t>Highly blurred view of a paved surface with multiple parallel white lines, resembling a multi-lane road or track; no distinct objects visible.</t>
  </si>
  <si>
    <t>[{"id": "obj_1", "class": "road_surface", "description": "Flat paved surface occupying the entire frame", "position": "entire scene", "orientation": "extending away from viewer"}, {"id": "obj_2", "class": "lane_markings", "description": "Several parallel white lines running roughly vertically in the image", "position": "distributed across the width of the frame", "orientation": "parallel, extending away from viewer"}]</t>
  </si>
  <si>
    <t>Step 1 – Geolocation &amp; Context: The scene is too blurred to confidently identify geographic or cultural context; only that it appears to be a paved surface with multiple parallel white lines, which could be a roadway, parking area, or running track. Confidence: low. Step 2 – Scene Type: Most likely a roadway/traffic environment or similar paved infrastructure, but cannot be distinguished; no vehicles, pedestrians, or other entities are discernible. Step 3–8 – Because of the extreme blur, no specific hazards, behaviors, or abnormal conditions can be reliably identified, so no anomalies are recorded. The lack of observable objects means risk cannot be meaningfully assessed beyond assuming no clearly visible danger in this single frame.</t>
  </si>
  <si>
    <t>blurred_downsampled/C_000006_25.jpg</t>
  </si>
  <si>
    <t>Snow-covered roadway viewed from a moving vehicle in winter conditions, following another vehicle ahead; image is heavily blurred.</t>
  </si>
  <si>
    <t>[{"id": "obj_1", "class": "car", "description": "Vehicle ahead in the same lane on a snow-covered road", "position": "center of frame, ahead of ego vehicle on roadway", "orientation": "facing away from camera, moving in same direction as ego vehicle"}, {"id": "obj_2", "class": "roadway", "description": "Snow-covered road surface extending ahead of the ego vehicle", "position": "occupies lower and central part of frame", "orientation": "extends from bottom foreground toward horizon"}, {"id": "obj_3", "class": "utility_poles_and_lines", "description": "Series of poles with overhead cables along roadside", "position": "right side of frame", "orientation": "running roughly parallel to road"}]</t>
  </si>
  <si>
    <t>[{"id": "anom_1", "related_objects": ["obj_1", "obj_2"], "type": "reduced_visibility_and_snowy_road", "description": "Heavily blurred viewpoint combined with snow-covered road likely implies poor visibility and reduced tire traction for vehicles.", "risk_score_1_to_10": 6, "risk_target": ["drivers"], "region": {"x_center_norm": 0.5, "y_center_norm": 0.65, "width_norm": 1.0, "height_norm": 0.7}, "reasoning": "The road surface appears fully covered with snow, which typically reduces friction and increases stopping distance. Additionally, the image is very blurred, suggesting impaired visibility (e.g., fogged or wet windshield, camera blur), which would make it harder for drivers to detect obstacles or changes in traffic ahead, increasing collision risk even at moderate speeds."}]</t>
  </si>
  <si>
    <t>Step 1 – Geolocation &amp; Context: The presence of snow, overhead cables, and a relatively flat snowy roadside environment suggests a cold-climate region, possibly Eastern Europe, Russia, or another northern country, but this is low-confidence due to strong blur. The language/characters at the top are unreadable. Context confidence: low. Step 2 – Scene Type: primary scene is a roadway/traffic environment in a mixed or sparsely built urban/peri-urban area. Step 8 – Reasoning: Because of blur, small details like pedestrians or smaller hazards cannot be confirmed; analysis focuses on clearly visible macro conditions such as snow coverage and general visibility. The main risk is from the road surface and low visibility rather than a specific imminent collision.</t>
  </si>
  <si>
    <t>blurred_downsampled/0072.png</t>
  </si>
  <si>
    <t>Blurry aerial or elevated view of a coastal urban area with buildings, palm trees, sandy beach, and rough sea waves.</t>
  </si>
  <si>
    <t>[{"id": "obj_1", "class": "coastline", "description": "Stretch of sandy beach running from lower center toward upper left along the sea", "position": "middle horizontal band from center to left edge", "orientation": "parallel to shoreline"}, {"id": "obj_2", "class": "sea", "description": "Body of water with visible surf and breaking waves near shore", "position": "right half and upper-right of image adjacent to beach", "orientation": "waves approaching shore"}, {"id": "obj_3", "class": "buildings", "description": "Cluster of multi-story urban buildings near the beach", "position": "left side and lower-left quadrant close to coastline", "orientation": "facing toward sea"}, {"id": "obj_4", "class": "vegetation", "description": "Palm trees and other vegetation between buildings and beach", "position": "lower half, especially lower center and lower right", "orientation": "upright"}]</t>
  </si>
  <si>
    <t>Image is highly blurred, preventing detection of specific people, vehicles, or detailed hazards. Waves suggest moderate surf but no clearly visible swimmers or boats, so no specific coastal safety anomaly can be reliably identified.</t>
  </si>
  <si>
    <t>blurred_downsampled/anomaly_048.png</t>
  </si>
  <si>
    <t>Urban sidewalk with a parked white vehicle partially occupying the walkway and a pole in the middle of the path; street and buildings alongside.</t>
  </si>
  <si>
    <t>[{"id": "obj_1", "class": "car", "description": "White car parked along the left side adjacent to the sidewalk, extending into the pedestrian space", "position": "left side of image, partly on or immediately next to the sidewalk", "orientation": "aligned lengthwise with the street, facing away from the camera"}, {"id": "obj_2", "class": "pole", "description": "Vertical pole in the middle of the sidewalk", "position": "center of the image on the sidewalk", "orientation": "upright vertical"}, {"id": "obj_3", "class": "sidewalk", "description": "Paved pedestrian walkway running from foreground to background", "position": "occupies lower and central portions of the frame", "orientation": "longitudinal along the street"}, {"id": "obj_4", "class": "road", "description": "Vehicle roadway running parallel to the sidewalk with additional vehicles in the distance", "position": "right side and background of the image", "orientation": "longitudinal"}, {"id": "obj_5", "class": "building", "description": "Urban buildings lining the street", "position": "right side and background", "orientation": "fronts facing the street"}]</t>
  </si>
  <si>
    <t>[{"id": "anom_1", "related_objects": ["obj_1", "obj_3"], "type": "vehicle_obstructing_sidewalk", "description": "The white car appears to be encroaching on or parked over part of the sidewalk, obstructing pedestrian passage.", "risk_score_1_to_10": 5, "risk_target": ["pedestrians"], "region": {"x_center_norm": 0.18, "y_center_norm": 0.55, "width_norm": 0.35, "height_norm": 0.75}, "reasoning": "The car's body appears within the sidewalk area, reducing clear walking space. This forces pedestrians, especially those with mobility aids, strollers, or visual impairments, to squeeze past or step toward the road, increasing collision and trip risks."}]</t>
  </si>
  <si>
    <t>Geolocation and cultural context are low-confidence, but the environment resembles a generic urban street in a temperate or warm region. Blurriness limits precise assessment; risk is evaluated conservatively based on visible obstruction of the pedestrian path.</t>
  </si>
  <si>
    <t>blurred_downsampled/0029.jpg</t>
  </si>
  <si>
    <t>Heavily blurred view of a paved two-lane road in a mountainous or hilly area with a centerline marking visible, no clearly discernible vehicles, people, or obstacles.</t>
  </si>
  <si>
    <t>[{"id": "obj_1", "class": "roadway", "description": "Paved road surface occupying most of the frame with a faint central lane marking", "position": "extends from bottom foreground toward the center of the image", "orientation": "aligned roughly from bottom edge toward the top center of the image"}, {"id": "obj_2", "class": "mountain_slope", "description": "Rocky or earthen slope rising along one side of the road", "position": "left side of the scene", "orientation": "sloping upward from road edge toward top-left"}, {"id": "obj_3", "class": "distant_hills_or_mountains", "description": "Blurred elevated terrain in the background", "position": "upper right and central background", "orientation": "horizon line across upper portion of image"}]</t>
  </si>
  <si>
    <t>Step 1 – Geolocation &amp; Context: The combination of open paved road, centerline marking, and arid-looking sloped terrain suggests a rural or mountainous roadway, possibly in a dry or semi-arid region (e.g., western North/South America or similar environments). Confidence is low due to extreme blur; this is an inference based solely on general road and terrain appearance.
Step 2 – Scene Type: Roadway / traffic environment and natural-urban interface (mountain/hill area) are indicated by the paved road and natural terrain.
Step 3 – Scene Description: The frame is extremely out of focus. Only a broad, straight or gently curving road surface with a central marking and adjacent sloped terrain and distant hills are distinguishable. No clearly identifiable vehicles, pedestrians, barriers, or signage can be seen.
Step 4 – Object Identification: Only large-scale elements (roadway, slope, distant hills) are reliably visible. The blur prevents accurate identification of any smaller objects like cars, people, or roadside infrastructure.
Step 5 – Anomaly Detection: Because of the heavy blur, no specific anomaly (such as wrong-way vehicles, obstacles, or damaged infrastructure) can be confidently identified. The lack of visible traffic or pedestrians is not inherently abnormal for a rural or mountain road.
Step 6 – Risk Assessment: With no concrete anomalies detectable, no particular group can be assigned elevated risk from this single frame. Any real-world driving risk (e.g., curves, drop-offs) cannot be judged from this image due to lack of detail.
Step 7 – Spatial Localization: No anomalies detected, so no regions are provided.
Step 8 – Reasoning: The key limitation is the image blur; safety-relevant details like guardrails, lane edges, oncoming vehicles, or pedestrians cannot be resolved. Thus, the assessment must remain conservative and report no observed anomalies rather than speculate.
Step 9 – Overall Safety Impact: Based solely on visible evidence, the situation appears neutral: a typical rural/mountain road scene with no clearly visible immediate hazards. Overall risk score is set to 0 because no specific, identifiable abnormal risk elements are observed in this frame.</t>
  </si>
  <si>
    <t>blurred_downsampled/0099.png</t>
  </si>
  <si>
    <t>Urban sidewalk beside a street with a parked car and traffic/parking signs; no clear pedestrians or active traffic visible.</t>
  </si>
  <si>
    <t>[{"id": "obj_1", "class": "sidewalk", "description": "Paved sidewalk in the foreground and extending into the background", "position": "covers most of the lower and central part of the image", "orientation": "parallel to the street"}, {"id": "obj_2", "class": "car", "description": "Dark-colored car parked along the curb next to the sidewalk", "position": "right-center of the image, adjacent to the sidewalk", "orientation": "aligned with the street, side view"}, {"id": "obj_3", "class": "traffic_sign", "description": "Vertical pole with a blue circular or rectangular sign and a red-bordered sign beneath or beside it", "position": "left side of the image near the curb transition or crosswalk", "orientation": "upright"}, {"id": "obj_4", "class": "building", "description": "Multi-story residential or mixed-use building in the background", "position": "top and mid-right background", "orientation": "facade facing the street"}, {"id": "obj_5", "class": "vegetation", "description": "Bushes or hedges along the edge of the property behind the sidewalk", "position": "central background behind the car", "orientation": "linear strip along property edge"}, {"id": "obj_6", "class": "roadway", "description": "Section of street adjacent to the sidewalk and car", "position": "mid-right portion of the image, next to the curb", "orientation": "parallel to the sidewalk"}]</t>
  </si>
  <si>
    <t>Image is heavily blurred, limiting fine-grained safety analysis. Within visible detail, the environment appears to be a typical urban sidewalk and roadside with no clearly identifiable hazards or abnormal behaviors.</t>
  </si>
  <si>
    <t>blurred_downsampled/0121.jpg</t>
  </si>
  <si>
    <t>Mountainous two-lane roadway with guardrails and winding-road warning sign, surrounded by dense green vegetation.</t>
  </si>
  <si>
    <t>[{"id": "obj_1", "class": "roadway", "description": "Paved two-lane mountain road curving to the right in the foreground", "position": "extends from bottom center toward mid-right of the image", "orientation": "curving right, following hillside contour"}, {"id": "obj_2", "class": "traffic_sign", "description": "Diamond-shaped yellow sign indicating a winding road ahead", "position": "left side of the road near the lower-left quadrant", "orientation": "facing oncoming drivers"}, {"id": "obj_3", "class": "guardrail", "description": "Metal guardrail following outer edge of road", "position": "left edge of the road, running from lower-left toward center-right", "orientation": "parallel to roadway"}, {"id": "obj_4", "class": "cliff_or_rock_face", "description": "Steep rock or earth wall rising directly from right edge of roadway", "position": "right side of the image, adjacent to road", "orientation": "vertical face bordering roadway"}, {"id": "obj_5", "class": "utility_pole", "description": "Tall utility poles with overhead cables", "position": "one near center, others receding along road", "orientation": "vertical poles with cables running diagonally across upper part of image"}, {"id": "obj_6", "class": "vegetation", "description": "Dense green forest and hillside vegetation surrounding road", "position": "background hills and both sides of roadway", "orientation": "covering slopes and roadside"}]</t>
  </si>
  <si>
    <t>Step 1 – Geolocation &amp; Context: The winding mountain road with dense green forest, metal guardrails, and yellow diamond warning sign suggests a rural or mountainous roadway in a country using MUTCD-style signage (e.g., Americas or parts of Asia). Confidence is low due to heavy blur; assumptions are that this is a standard rural mountain road. Step 2 – Scene Type: Roadway/traffic environment within a natural-urban interface (forest/mountain zone). Step 5 – Anomaly Detection: No explicit anomalies are visible; road, guardrail, and signage appear typical for a curving mountain road. The image blur is an artifact of capture, not an in-scene hazard to drivers. The inherent curvy mountain road still requires cautious driving, but this is a normal contextual risk rather than an anomaly.</t>
  </si>
  <si>
    <t>blurred_downsampled/0049.jpg</t>
  </si>
  <si>
    <t>Very blurred view of a roadway edge with a curb, guardrail, and a darker rectangular patch or cover on the road surface near the curb.</t>
  </si>
  <si>
    <t>[{"id": "obj_1", "class": "road_surface", "description": "Paved road surface occupying most of the lower and central part of the image", "position": "foreground and midground across the frame", "orientation": "flat horizontal surface"}, {"id": "obj_2", "class": "curb_or_sidewalk_edge", "description": "Light-colored linear strip separating road from adjacent area", "position": "upper central part of the image, parallel to the top edge", "orientation": "roughly horizontal"}, {"id": "obj_3", "class": "guardrail_or_barrier", "description": "Metallic-looking linear barrier above the curb", "position": "upper portion of the image, parallel to curb", "orientation": "roughly horizontal"}, {"id": "obj_4", "class": "vegetation", "description": "Green area that appears to be grass or plants beyond the barrier", "position": "top part of the image behind the guardrail", "orientation": "ground cover"}, {"id": "obj_5", "class": "road_patch_or_manhole_cover", "description": "Darker rectangular area on the road that could be a patch, drain grate, or manhole cover", "position": "left-center of the image on the road, close to the curb", "orientation": "flush with road surface"}]</t>
  </si>
  <si>
    <t>Step 1 – Geolocation &amp; Context: The scene appears to be a generic paved roadway edge with curb, barrier, and adjacent vegetation; no signage, markings, or distinct architectural cues are visible. This could be in many countries with similar road infrastructure. Confidence: low. Assumptions: standard urban or peri-urban road environment in a temperate or subtropical region.
Step 2 – Scene Type: Roadway / traffic environment; natural-urban interface (vegetation beyond roadside); not clearly residential or industrial.
Step 3 – Scene Description: The image is heavily blurred. The visible elements are a paved road surface, a curb or edge strip, a metal-like roadside guardrail, and grass/vegetation beyond. On the road near the curb there is a darker rectangular shape that is likely a patch, cover, or grate.
Step 4 – Object Identification: Only static infrastructure and surface features are discernible. No people, vehicles, animals, or equipment can be reliably identified, due to blur.
Step 5 – Anomaly Detection: The darker rectangular area on the road could, in a clearer image, represent damage, a sunken cover, or an open hole, which would be hazardous. However, given the extreme blur, it is equally consistent with a normal manhole cover or routine patch. There is insufficient visual evidence to confidently label this as damaged or abnormal. No other unusual conditions (e.g., flooding, debris, fire) are visible.
Step 6 – Risk Assessment: Because no anomaly can be reliably confirmed, no specific risk is scored. If the rectangular area were actually a damaged or sunken cover, it might pose moderate risk to vehicles or pedestrians, but that would be speculative beyond what can be seen.
Step 7 – Spatial Localization: No anomalies are defined, so no regions are specified.
Step 8 – Reasoning: The assessment is conservative due to the very low image clarity. The rectangular feature is a normal presence in many roads (covers, patches), and the rest of the scene (guardrail, curb, vegetation) appears standard. Without visible damage, obstructions, or hazardous behaviors, it is treated as normal infrastructure.
Step 9 – Overall Safety Impact Summary: With no confirmed hazards, the scene is interpreted as safe or at least not showing any explicit, observable danger. The overall risk score is set to 0 to reflect the absence of clearly identifiable anomalies in this blurred frame.</t>
  </si>
  <si>
    <t>blurred_downsampled/C_000007_20.jpg</t>
  </si>
  <si>
    <t>Snowy urban roadway with a passenger car following a large truck in slow or stopped traffic, viewed from a dashcam.</t>
  </si>
  <si>
    <t>[{"id": "obj_1", "class": "car", "description": "Dark passenger car directly ahead of the camera vehicle in the same lane", "position": "center foreground of the lane", "orientation": "facing away from the camera, aligned with lane direction"}, {"id": "obj_2", "class": "truck", "description": "Large box truck ahead of the dark car in the same lane", "position": "center mid-distance of the lane", "orientation": "facing away from the camera, aligned with lane direction"}, {"id": "obj_3", "class": "roadway", "description": "Multi-lane paved road with snow along the sides, urban surroundings", "position": "extends from foreground to background across image width", "orientation": "road extends roughly from bottom toward top of the image"}, {"id": "obj_4", "class": "snowbank", "description": "Accumulated snow along roadside and median or sidewalk edges", "position": "both sides of the roadway, especially right side", "orientation": "parallel to roadway"}]</t>
  </si>
  <si>
    <t>Image is heavily blurred, limiting detailed assessment. Within what can be seen, vehicles appear properly aligned in lane on a snowy but seemingly managed urban road, with no clear anomalies or abnormal risks detectable.</t>
  </si>
  <si>
    <t>blurred_downsampled/0015.jpg</t>
  </si>
  <si>
    <t>Highly blurred view of a paved surface, likely a road, with a dark circular or oval patch near the center.</t>
  </si>
  <si>
    <t>[{"id": "obj_1", "class": "road_surface", "description": "Flat paved surface filling the frame, likely a roadway or similar pavement", "position": "entire scene", "orientation": "horizontal plane"}, {"id": "obj_2", "class": "road_defect_or_mark", "description": "Dark circular or oval spot on the pavement near the center of the image", "position": "approximately center of the visible road surface", "orientation": "on road surface"}]</t>
  </si>
  <si>
    <t>Step 1 – Geolocation &amp; Context: The image is too blurred to identify region, language, vehicles, or specific infrastructure. Only a generic paved surface is visible; location inference is low-confidence, assumed to be some form of roadway or paved area in an urban or peri-urban context. Step 2 – Scene Type: Likely a roadway/traffic environment, but no vehicles or pedestrians are discernible due to blur. Step 3 – Scene Description: The frame is extremely out of focus, showing a flat grey surface with a darker spot, and possibly faint parallel lines that could be lane markings, but this is uncertain. Step 4 – Object Identification: Only the general road surface and a dark patch are identifiable. No humans, vehicles, animals, or clear infrastructure elements are visible. Step 5 – Anomaly Detection: The dark spot could represent a pothole, patch, or stain, but because of the severe blur its nature cannot be reliably determined. Without clear evidence of a structural defect or interaction with vehicles/pedestrians, it cannot be confidently classified as an anomaly. Step 6 – Risk Assessment: Since no definite anomaly is detected, no specific risk can be scored. Step 7 – Spatial Localization: If the dark patch were considered, it would be roughly centered, but its status as a hazard is too uncertain; thus it is not treated as an anomaly. Step 8 – Reasoning: The primary limitation is the very low image resolution and strong defocus, which prevents detailed safety assessment. Step 9 – Overall Summary: Given the lack of clear hazards or actors, the scene is treated as having no identifiable abnormal risk, though the assessment is low confidence due to image quality.</t>
  </si>
  <si>
    <t>blurred_downsampled/0084.jpg</t>
  </si>
  <si>
    <t>Snowy multilane urban road with a passenger car following a truck in slow or stopped traffic, viewed from a dashcam.</t>
  </si>
  <si>
    <t>[{"id": "obj_1", "class": "car", "description": "Dark passenger car directly ahead of the camera, centered in lane", "position": "center foreground of the road, same lane as camera vehicle", "orientation": "facing away from camera, aligned with traffic direction"}, {"id": "obj_2", "class": "truck", "description": "Box truck ahead of the dark car in the same lane", "position": "center mid-distance, same lane as obj_1", "orientation": "facing away from camera, aligned with traffic direction"}, {"id": "obj_3", "class": "roadway", "description": "Paved multi-lane urban road with snow along the sides", "position": "extends from bottom to mid-image, across width", "orientation": "road direction from bottom toward top of image"}, {"id": "obj_4", "class": "snowbank", "description": "Accumulated snow along road edges and sidewalks", "position": "both sides of the road, especially right side mid to upper-right", "orientation": "parallel to roadway"}]</t>
  </si>
  <si>
    <t>The image is heavily blurred, limiting detailed assessment. Vehicles appear properly aligned within their lane on a snowy but seemingly maintained urban road. No clearly abnormal behavior, obstacles, or vulnerable road users can be discerned, so no specific anomaly is identified, though general winter driving conditions imply typical seasonal caution.</t>
  </si>
  <si>
    <t>blurred_downsampled/anomaly_067.png</t>
  </si>
  <si>
    <t>Blurred urban sidewalk alongside parked vehicles with large planters narrowing the pedestrian path.</t>
  </si>
  <si>
    <t>[{"id": "obj_1", "class": "sidewalk", "description": "Paved pedestrian walkway running from bottom center into the distance", "position": "center of image, extending from foreground to background", "orientation": "aligned roughly vertical in the image"}, {"id": "obj_2", "class": "car", "description": "Row of parked cars along the left edge of the sidewalk", "position": "left side of image, adjacent to sidewalk", "orientation": "parked parallel to the sidewalk"}, {"id": "obj_3", "class": "planter", "description": "Large planter with bushy greenery protruding onto the walking area", "position": "right side of the sidewalk, mid-right of the image", "orientation": "fixed, partially encroaching into pedestrian path"}, {"id": "obj_4", "class": "building", "description": "Urban building frontage beside the sidewalk", "position": "far right side of the image", "orientation": "parallel to sidewalk"}]</t>
  </si>
  <si>
    <t>[{"id": "anom_1", "related_objects": ["obj_1", "obj_3"], "type": "obstructed_sidewalk", "description": "Large planter with vegetation partially obstructs the sidewalk, reducing effective width for pedestrians.", "risk_score_1_to_10": 4, "risk_target": ["pedestrians"], "region": {"x_center_norm": 0.78, "y_center_norm": 0.5, "width_norm": 0.35, "height_norm": 0.45}, "reasoning": "The planter and vegetation appear to intrude into the walking space, narrowing the path between it and the parked cars. This may hinder wheelchair users, people with strollers, or cause pedestrians to step closer to the curb/road, posing a mild but persistent safety and accessibility risk."}]</t>
  </si>
  <si>
    <t>Geographic context is low-confidence; the scene resembles a typical dense urban sidewalk with street parking, but the heavy blur limits detailed assessment. No pedestrians are visible, so risk is potential rather than immediate.</t>
  </si>
  <si>
    <t>blurred_downsampled/0071.png</t>
  </si>
  <si>
    <t>Blurry coastal urban scene with a sandy beach, ocean waves, and buildings with palm trees along the shore.</t>
  </si>
  <si>
    <t>[{"id": "obj_1", "class": "ocean", "description": "Large body of water with visible waves on the right side of the image", "position": "right and upper-right of the scene", "orientation": "waves approaching the shore diagonally from right to left"}, {"id": "obj_2", "class": "beach", "description": "Stretch of sandy beach between the ocean and the built-up area", "position": "central band from left to right", "orientation": "parallel to shoreline"}, {"id": "obj_3", "class": "buildings", "description": "Cluster of urban buildings near the coastline", "position": "left and upper-left of the scene", "orientation": "facing toward the water"}, {"id": "obj_4", "class": "vegetation", "description": "Tall palm trees and other greenery near the beachfront and buildings", "position": "lower half of the image, especially bottom center", "orientation": "upright"}]</t>
  </si>
  <si>
    <t>Geolocation/context: likely a warm coastal urban area (e.g., Mediterranean or subtropical city), but confidence is low because the image is heavily blurred and lacks readable signage or clear architectural detail. No humans, vehicles, or specific hazards can be reliably identified due to the low resolution, so no concrete anomalies or risks can be assessed beyond normal coastal conditions.</t>
  </si>
  <si>
    <t>blurred_downsampled/66.jpg</t>
  </si>
  <si>
    <t>Two-lane paved roadway with yellow centerlines and a large damaged section or pothole in the travel lane.</t>
  </si>
  <si>
    <t>[{"id": "obj_1", "class": "roadway", "description": "Paved two-lane road surface occupying most of the frame", "position": "entire scene, extending from foreground to background", "orientation": "aligned roughly vertically in the image, receding into the distance"}, {"id": "obj_2", "class": "road_markings", "description": "Double yellow centerlines on the road", "position": "center of the roadway, running vertically through the middle of the image", "orientation": "parallel to the road direction"}, {"id": "obj_3", "class": "pothole", "description": "Large, irregular dark damaged area on the road surface crossing near the centerlines", "position": "lower central area of the image, spanning across one or both travel lanes", "orientation": "horizontal band across the lane"}]</t>
  </si>
  <si>
    <t>[{"id": "anom_1", "related_objects": ["obj_1", "obj_3"], "type": "road_surface_damage", "description": "Substantial pothole or broken pavement in the active travel lane on a two-lane road.", "risk_score_1_to_10": 6, "risk_target": ["drivers", "motorcyclists", "cyclists"], "region": {"x_center_norm": 0.5, "y_center_norm": 0.7, "width_norm": 0.6, "height_norm": 0.25}, "reasoning": "The dark, irregular damaged area indicates a significant pothole or subsided pavement on the lane close to the centerline. Vehicles, especially two‑wheelers, hitting this at speed risk loss of control, tire or suspension damage, or abrupt swerving into oncoming traffic."}]</t>
  </si>
  <si>
    <t>Geographic context is low-confidence; markings suggest a standard two-way road possibly in North or South America. No vehicles or pedestrians are visible, so risk is potential rather than immediate but is notable due to the size and placement of the damage in the travel lane.</t>
  </si>
  <si>
    <t>blurred_downsampled/0045.jpg</t>
  </si>
  <si>
    <t>Very blurred view of a straight paved road with a central white line through flat open countryside under a bright sky.</t>
  </si>
  <si>
    <t>[{"id": "obj_1", "class": "roadway", "description": "Paved road surface extending from bottom foreground to horizon, with a single white center line", "position": "dominant central foreground and midground of the scene", "orientation": "road aligned roughly bottom-to-top, receding toward the horizon"}, {"id": "obj_2", "class": "road_marking", "description": "Single solid or dashed white line along the center of the road", "position": "center of road, running vertically in the image", "orientation": "aligned with direction of travel along the road"}, {"id": "obj_3", "class": "vegetation", "description": "Low, uniform green terrain or fields on both sides of the road", "position": "left and right sides of the scene, flanking the roadway", "orientation": "flat landscape"}, {"id": "obj_4", "class": "sky", "description": "Bright sky with clouds, sun or intense light source near the horizon", "position": "upper half of the image, strongest brightness near center top", "orientation": "overhead"}]</t>
  </si>
  <si>
    <t>Step 1 – Geolocation &amp; Context: The scene appears to be a rural or open-highway environment in a temperate or semi-arid region with flat fields and a straight, well-paved road. No signage, vehicles, or language cues are discernible because of strong blur, so geographic inference is low-confidence and generic: likely a modern rural highway in an industrialized region. Step 2 – Scene Type: Primarily a roadway/traffic environment in a natural-urban interface (open countryside, no buildings). Step 3 – Description: The camera looks straight along a central-lane perspective of an empty, straight road bordered by low green terrain under a bright sky. The image is heavily blurred, obscuring fine details such as vehicles, people, or specific markings. Step 4 – Object Identification: Only the basic infrastructure (roadway, central marking, roadside vegetation, sky/light source) can be reliably identified; no pedestrians, vehicles, animals, or structures are clearly visible. Step 5 – Anomaly Detection: With the frame so blurred, no specific abnormal behaviors or objects (e.g., vehicles in wrong lane, animals on road, damaged infrastructure) can be confirmed. The absence of visible vehicles or people on a rural road is normal. Therefore, no concrete anomaly is recorded. Step 6 – Risk Assessment: Since no specific anomaly is detected, no group is identified as at risk, and the risk score is set to 0. If this blur represented an actual driver’s visual acuity, it would be highly dangerous, but that would be an assumption about the camera/user, not the scene itself. Step 7 – Spatial Localization: No anomalies to localize. Step 8 – Reasoning: All conclusions are constrained by the severe image blur; to avoid over-interpreting artifacts, only large-scale structures (road, terrain, sky) are used. Within those limits, the scene appears typical for a quiet rural highway, with no obvious hazards visible. Step 9 – Overall Safety Impact: From an environmental and infrastructure standpoint, the scene appears safe and normal; no active or latent abnormal risk can be derived from what is visible in this frame.</t>
  </si>
  <si>
    <t>blurred_downsampled/209.jpg</t>
  </si>
  <si>
    <t>Blurred view of a roadway with double yellow center lines and a large pothole or road surface damage near a vehicle.</t>
  </si>
  <si>
    <t>[{"id": "obj_1", "class": "roadway", "description": "Asphalt road surface with double yellow center lines", "position": "occupies most of the lower and central part of the frame", "orientation": "lines run roughly vertically through the image"}, {"id": "obj_2", "class": "pothole", "description": "Large irregular hole or depression in the road surface intersecting the yellow lines", "position": "central lower area of the frame on the roadway", "orientation": "aligned along and across the lane markings"}, {"id": "obj_3", "class": "vehicle", "description": "Partially visible vehicle near the damaged road section", "position": "upper left portion of the frame adjacent to the pothole area", "orientation": "appears parallel to the road markings"}]</t>
  </si>
  <si>
    <t>[{"id": "anom_1", "related_objects": ["obj_1", "obj_2", "obj_3"], "type": "road_surface_damage", "description": "A large pothole or cavity in the middle of the lane along the double yellow lines, posing a hazard to passing vehicles.", "risk_score_1_to_10": 7, "risk_target": ["drivers", "vehicle_occupants", "motorcyclists", "cyclists"], "region": {"x_center_norm": 0.55, "y_center_norm": 0.6, "width_norm": 0.5, "height_norm": 0.4}, "reasoning": "The damaged section is located directly on the lane center where vehicles travel; its apparent size suggests potential for tire damage, loss of control, or abrupt evasive maneuvers, especially hazardous for two-wheeled vehicles and at higher speeds."}]</t>
  </si>
  <si>
    <t>Geolocation context is low-confidence; markings and asphalt suggest a typical paved road, likely in a country using double yellow center lines to divide opposing traffic. The image is heavily blurred, so exact dimensions and traffic conditions cannot be confirmed, but the visible depression is significant enough to constitute a notable hazard.</t>
  </si>
  <si>
    <t>blurred_downsampled/alligator7_jpg.rf.96255119f901c29ec5967421dec8edab.jpg</t>
  </si>
  <si>
    <t>Large alligator crossing or occupying a paved road while several people and a vehicle are nearby.</t>
  </si>
  <si>
    <t>[{"id": "obj_1", "class": "animal", "description": "Large alligator or crocodile lying or moving across the middle of the roadway", "position": "center of the road, spanning from centerline toward one roadside", "orientation": "body roughly perpendicular to the road direction, head toward the right side of the frame"}, {"id": "obj_2", "class": "person", "description": "Standing person on left side of the road near the animal", "position": "left side of road, near edge of pavement", "orientation": "facing toward the animal/center of scene"}, {"id": "obj_3", "class": "person", "description": "Standing person on right side of the road, appears to be observing or managing the situation", "position": "right side of road, near edge of pavement", "orientation": "facing toward center of road and animal"}, {"id": "obj_4", "class": "person", "description": "Additional person further back on the road", "position": "background, slightly right of center on the roadway", "orientation": "facing generally toward the foreground/animal"}, {"id": "obj_5", "class": "car", "description": "Vehicle stopped on the road behind the people and animal", "position": "background, left of road centerline", "orientation": "aligned with direction of the road, facing toward the camera"}, {"id": "obj_6", "class": "roadway", "description": "Two-lane paved road with centerline markings, bordered by vegetation", "position": "extends from foreground bottom to background center", "orientation": "road recedes from front center toward upper center of the image"}, {"id": "obj_7", "class": "vegetation", "description": "Green roadside vegetation and possibly trees along both sides of the road", "position": "along left and right edges of the scene", "orientation": "borders the roadway"}]</t>
  </si>
  <si>
    <t>[{"id": "anom_1", "related_objects": ["obj_1", "obj_2", "obj_3", "obj_4", "obj_5"], "type": "large_wild_animal_on_roadway", "description": "A large alligator is occupying the travel lanes of a public road with people and a vehicle nearby.", "risk_score_1_to_10": 8, "risk_target": ["drivers", "pedestrians"], "region": {"x_center_norm": 0.5, "y_center_norm": 0.6, "width_norm": 0.6, "height_norm": 0.45}, "reasoning": "A large alligator on an active roadway is abnormal and dangerous; it can cause collisions if drivers do not see it in time and poses direct physical danger to nearby pedestrians. The presence of people close to the animal increases the chance of aggressive interaction or sudden movement that could lead to injury or additional traffic hazards. Although responders appear to be present, the inherent risk remains high."}]</t>
  </si>
  <si>
    <t>Likely in a region where alligators are native (e.g., southeastern United States), but even there, an alligator on a paved road with people nearby is an elevated safety risk. Confidence is medium due to image blur; analysis is based on coarse shapes and context cues.</t>
  </si>
  <si>
    <t>blurred_downsampled/0034.jpg</t>
  </si>
  <si>
    <t>Blurry view of a paved roadway with visible longitudinal surface damage or cracks and lane markings, no visible vehicles or pedestrians.</t>
  </si>
  <si>
    <t>[{"id": "obj_1", "class": "roadway", "description": "Main paved road surface extending from foreground to background of the image", "position": "occupies most of the frame, from bottom edge toward horizon", "orientation": "aligned roughly vertically in the image, receding into the distance"}, {"id": "obj_2", "class": "lane_markings", "description": "Light-colored painted lines indicating traffic lanes on the right side of the road", "position": "right-center portion of the roadway", "orientation": "running approximately from bottom-right toward upper-center"}, {"id": "obj_3", "class": "road_surface_damage", "description": "Dark, irregular elongated patches or cracks in the pavement following a winding path", "position": "center-left of the road, extending from lower-middle toward upper-middle", "orientation": "meandering longitudinally along the direction of travel"}]</t>
  </si>
  <si>
    <t>[{"id": "anom_1", "related_objects": ["obj_1", "obj_3"], "type": "damaged_road_surface", "description": "Significant longitudinal damage or cracking along the travel path of the roadway, potentially causing instability for vehicles, especially at speed or for two-wheelers.", "risk_score_1_to_10": 6, "risk_target": ["drivers", "cyclists"], "region": {"x_center_norm": 0.4, "y_center_norm": 0.55, "width_norm": 0.4, "height_norm": 0.7}, "reasoning": "The dark, irregular shapes align with the road direction and resemble major cracks or subsidence lines on the pavement. Such defects can cause loss of control, particularly for motorcycles or bicycles, and can damage vehicles or induce swerving, increasing collision risk. The absence of cones or signage suggests the hazard is unmarked."}]</t>
  </si>
  <si>
    <t>Geolocation and cultural context are highly uncertain due to heavy blur and lack of signage detail; assessment is based on general road design norms. No vehicles or pedestrians are visible in this frame, so risk is potential rather than immediately imminent.</t>
  </si>
  <si>
    <t>blurred_downsampled/clm_s_01_2011-11-28-07-00.png</t>
  </si>
  <si>
    <t>Blurry elevated view of a coastal urban beachfront with rough sea and waves reaching the shore; details of people or vehicles are not discernible.</t>
  </si>
  <si>
    <t>[{"id": "obj_1", "class": "sea", "description": "Large body of water with visible white surf and waves approaching shore on right side of image", "position": "right half of scene along horizon and shoreline", "orientation": "waves moving roughly toward the beach"}, {"id": "obj_2", "class": "beach", "description": "Sandy shoreline separating sea from built-up area, appears continuous along the coast", "position": "middle horizontal band from left to right, between sea and darker urban area", "orientation": "parallel to coastline"}, {"id": "obj_3", "class": "buildings", "description": "Cluster of low- to mid-rise structures in coastal urban area; details blurred", "position": "left and lower parts of scene adjacent to beach", "orientation": "facing coastline"}, {"id": "obj_4", "class": "vegetation", "description": "Tree-like dark shapes, likely palms, lining the beachfront and urban edge", "position": "lower half of image, scattered along interface between buildings and beach", "orientation": "vertical"}]</t>
  </si>
  <si>
    <t>[{"id": "anom_1", "related_objects": ["obj_1", "obj_2"], "type": "rough_sea_conditions", "description": "Sea appears rough with significant wave action impacting the beachfront, suggesting potentially hazardous surf conditions.", "risk_score_1_to_10": 4, "risk_target": ["swimmers", "beachgoers"], "region": {"x_center_norm": 0.7, "y_center_norm": 0.4, "width_norm": 0.55, "height_norm": 0.7}, "reasoning": "Visible whitecaps and breaking waves close to the shore indicate stronger-than-calm surf. While no people or water users can be seen due to blur, such conditions can pose a moderate risk if individuals were swimming or standing close to the waterline. The lack of visible people reduces immediate risk but the environment itself is more hazardous than a calm sea."}]</t>
  </si>
  <si>
    <t>Image is heavily blurred, preventing identification of specific humans, vehicles, or detailed infrastructure. Risk assessment is conservative and based mainly on apparent sea state rather than observed behavior.</t>
  </si>
  <si>
    <t>blurred_downsampled/0107.jpg</t>
  </si>
  <si>
    <t>Flooded urban street where a man is pushing a cycle rickshaw through deep water alongside partially submerged buildings.</t>
  </si>
  <si>
    <t>[{"id": "obj_1", "class": "pedestrian", "description": "Man walking in thigh-deep floodwater near the right side of the frame, pushing a vehicle.", "position": "foreground right, within flooded roadway close to the sidewalk edge", "orientation": "facing slightly toward the camera while moving forward along the street"}, {"id": "obj_2", "class": "rickshaw", "description": "Cycle rickshaw with canopy being pushed through floodwater by the man, with another person seated inside.", "position": "right-center of image in the flooded street", "orientation": "aligned lengthwise with the street, front end slightly toward the camera"}, {"id": "obj_3", "class": "passenger", "description": "Person seated in the rickshaw under the canopy above the floodwater level.", "position": "upper-right quadrant, seated on rickshaw seat", "orientation": "facing toward camera area"}, {"id": "obj_4", "class": "buildings", "description": "Row of multi-story urban buildings and shopfronts along the flooded street.", "position": "background across upper part of image on both sides of waterway", "orientation": "front facades facing the flooded street"}, {"id": "obj_5", "class": "sidewalk_or_embankment", "description": "Raised paved edge forming a narrow walkway beside the flooded street.", "position": "right edge of image running from foreground to background", "orientation": "parallel to street"}, {"id": "obj_6", "class": "floodwater", "description": "Deep standing water covering the full width of the street.", "position": "covering most of the lower and central image area", "orientation": "horizontal surface"}]</t>
  </si>
  <si>
    <t>[{"id": "anom_1", "related_objects": ["obj_1", "obj_2", "obj_3", "obj_6"], "type": "urban_flooding_with_pedestrian_and_vehicle_exposure", "description": "Severe flooding of an urban street where a pedestrian is wading and pushing a rickshaw with a passenger through deep water.", "risk_score_1_to_10": 8, "risk_target": ["pedestrians", "drivers", "cyclists", "general_civilians"], "region": {"x_center_norm": 0.6, "y_center_norm": 0.65, "width_norm": 0.6, "height_norm": 0.6}, "reasoning": "The street is heavily inundated, reaching at least knee-to-thigh depth on the walking man, implying hidden hazards such as open drains, submerged obstacles, contamination, and strong currents. The man and the seated passenger are directly exposed; loss of footing or rickshaw instability could cause injury or drowning, especially if deeper spots or open manholes exist. In an urban environment, such depth of water on a street is strongly abnormal and poses high safety and health risks."}]</t>
  </si>
  <si>
    <t>Geolocation confidence is low; architecture and use of a cycle rickshaw suggest a dense urban area in South or Southeast Asia with monsoon or storm-related street flooding. The image is blurred, so fine details like exact water depth or traffic presence cannot be fully confirmed, but the extent of inundation relative to the pedestrian indicates significant hazard.</t>
  </si>
  <si>
    <t>blurred_downsampled/clm_s_01_2024-07-21-15-00.png</t>
  </si>
  <si>
    <t>Highly blurred coastal beach scene with ocean, sandy shore, palm trees, and nearby buildings.</t>
  </si>
  <si>
    <t>[{"id": "obj_1", "class": "coastline", "description": "Curving sandy shoreline running diagonally from lower left toward upper right along the ocean", "position": "central band of image, separating land in lower half from water in upper-right half", "orientation": "diagonal from bottom-left to mid-right"}, {"id": "obj_2", "class": "ocean", "description": "Body of water with small waves approaching the shore", "position": "right and upper-right portions of the image", "orientation": "waves parallel to shoreline"}, {"id": "obj_3", "class": "vegetation", "description": "Multiple palm trees and other greenery near the beach", "position": "lower and central parts of the image close to the shoreline", "orientation": "upright vertical trunks"}, {"id": "obj_4", "class": "building", "description": "Cluster of multi-story buildings near the coastline", "position": "upper-left area near the shore", "orientation": "facing toward the coast"}]</t>
  </si>
  <si>
    <t>The image is extremely blurred, preventing reliable detection of people, vehicles, or specific hazards such as strong currents, signage, or unsafe crowding. Based on visible coarse features, this appears to be a normal coastal urban-beach environment with no clearly identifiable anomalies.</t>
  </si>
  <si>
    <t>blurred_downsampled/0096.png</t>
  </si>
  <si>
    <t>Urban sidewalk alongside a road with some pedestrians and building frontage, viewed from pedestrian height.</t>
  </si>
  <si>
    <t>[{"id": "obj_1", "class": "sidewalk", "description": "Paved pedestrian sidewalk running from bottom center into the distance along the right side of a roadway.", "position": "extends from foreground bottom center toward upper left-middle", "orientation": "aligned roughly along the vertical axis of the image"}, {"id": "obj_2", "class": "road", "description": "Vehicle roadway running parallel to the sidewalk on the left side.", "position": "left side of image from bottom to top", "orientation": "parallel to sidewalk, receding into distance"}, {"id": "obj_3", "class": "building_front", "description": "Row of commercial or residential frontage with awnings adjacent to the sidewalk.", "position": "right side of image from mid-height upward", "orientation": "parallel to sidewalk"}, {"id": "obj_4", "class": "awning", "description": "Bright-colored awning projecting over part of the sidewalk edge near the building.", "position": "upper right quadrant", "orientation": "horizontal projection over walkway"}, {"id": "obj_5", "class": "pedestrian", "description": "Distant human figure walking along the sidewalk away from the camera.", "position": "upper center-left on the sidewalk", "orientation": "facing away, moving into depth of scene"}, {"id": "obj_6", "class": "bollard_or_post", "description": "Short vertical post or bollard placed on or near the inner edge of the sidewalk.", "position": "center of image, a few meters ahead on the path", "orientation": "upright"}, {"id": "obj_7", "class": "shadow", "description": "Shadow of the camera-holder or another person in the foreground of the sidewalk.", "position": "bottom center", "orientation": "extending upward along the sidewalk"}]</t>
  </si>
  <si>
    <t>Location/context inference: low-confidence; appears to be a typical urban sidewalk in a warm-climate city with no clear signage or markings to specify country. The scene shows standard pedestrian and roadside infrastructure; no obvious hazards or abnormal behaviors are discernible given the heavy blur.</t>
  </si>
  <si>
    <t>blurred_downsampled/0075.png</t>
  </si>
  <si>
    <t>Heavily blurred coastal scene with ocean waves approaching a sandy beach lined by buildings and palm trees.</t>
  </si>
  <si>
    <t>[{"id": "obj_1", "class": "coastline", "description": "Curving sandy shoreline running from lower center toward upper left of the image", "position": "middle band of the scene between ocean and built-up area", "orientation": "roughly diagonal from bottom center to upper left"}, {"id": "obj_2", "class": "ocean", "description": "Body of water with visible breaking waves approaching the shore", "position": "right and upper portions of the image adjacent to the beach", "orientation": "waves roughly parallel to shoreline"}, {"id": "obj_3", "class": "buildings", "description": "Cluster of low- to mid-rise buildings near the beachfront", "position": "left and lower-left parts of the image", "orientation": "aligned along the coastline"}, {"id": "obj_4", "class": "vegetation", "description": "Row and clusters of tall palm-like trees near the beach and buildings", "position": "lower half of the image, especially lower right", "orientation": "vertical trunks"}]</t>
  </si>
  <si>
    <t>Step 1 – Geolocation &amp; Context: This appears to be a coastal urban area with palm trees and sandy beach, likely a warm-climate seaside city (e.g., Mediterranean, tropical, or subtropical). Confidence is low due to strong blur; no signage, people, or vehicles are discernible. Step 2 – Scene Type: coastal/aquatic environment and natural-urban interface, with adjacent residential/urban development. Step 3 – Description: View from an elevated position looking down over a beach with surf and a built-up area; image is too blurred to distinguish individual persons or specific hazards. Step 4 – Object Identification: Only high-level features (ocean, coastline, buildings, vegetation) can be reliably identified; no clear humans, vehicles, or infrastructure elements like roads or rails can be confirmed. Step 5 – Anomaly Detection: Because of the extreme blur, potential fine-grained hazards (e.g., swimmers in rough surf, damaged infrastructure, crowding) cannot be assessed. At the observable scale, a beach with waves next to buildings is normal for such a context, and no specific abnormal event (like visible flooding, fire, or structural collapse) can be confirmed. Step 6 – Risk Assessment: Without identifiable exposed individuals or specific hazardous conditions, no concrete anomaly can be scored; thus risk is set to 0, while acknowledging uncertainty due to poor image quality. Overall the scene appears typical for a coastal city under moderate surf conditions, with no clearly observable immediate safety threat.</t>
  </si>
  <si>
    <t>blurred_downsampled/0039.jpg</t>
  </si>
  <si>
    <t>Straight rural paved road with a large lighter patch or damaged area in the middle of the lane and no visible vehicles or pedestrians.</t>
  </si>
  <si>
    <t>[{"id": "obj_1", "class": "roadway", "description": "Single paved road extending into the distance through a dry rural area", "position": "occupies most of the central vertical area of the image", "orientation": "aligned roughly from bottom center to top center, receding into the distance"}, {"id": "obj_2", "class": "road_surface_defect", "description": "Large irregular light-colored patch or damaged section on the asphalt", "position": "near the bottom center of the image, in the main vehicle path", "orientation": "roughly centered laterally on the lane"}, {"id": "obj_3", "class": "vegetation", "description": "Low dry vegetation or scrubland on both sides of the road", "position": "left and right edges of the scene beyond the road shoulders", "orientation": "flanking both sides of the roadway"}]</t>
  </si>
  <si>
    <t>[{"id": "anom_1", "related_objects": ["obj_1", "obj_2"], "type": "road_surface_hazard", "description": "Prominent irregular patch or potential pothole/repair zone in the middle of the travel lane that could destabilize vehicles or require sudden maneuvers.", "risk_score_1_to_10": 5, "risk_target": ["drivers", "motorcyclists", "cyclists"], "region": {"x_center_norm": 0.5, "y_center_norm": 0.6, "width_norm": 0.5, "height_norm": 0.3}, "reasoning": "The visibly lighter, irregular road area lies where vehicle tires would normally travel. In a rural, likely higher-speed context with no lane markings and potential low visibility of the defect until close, this can pose a moderate risk of loss of control, especially for two-wheeled vehicles or at night. The exact severity is uncertain due to image blur, so the risk is rated moderate but not extreme."}]</t>
  </si>
  <si>
    <t>Geolocation and cultural context are low-confidence; the dry open landscape resembles many rural regions globally. No moving vehicles or people are visible, so current risk is latent rather than immediate.</t>
  </si>
  <si>
    <t>blurred_downsampled/clm_s_01_2011-05-21-11-00.png</t>
  </si>
  <si>
    <t>Heavily blurred coastal urban area with shoreline waves, sandy beach, and mid-rise buildings with trees; no clearly discernible people or vehicles.</t>
  </si>
  <si>
    <t>[{"id": "obj_1", "class": "coastline", "description": "Curved shoreline with visible surf and waves along right side of image", "position": "right and upper-right edge of scene", "orientation": "shoreline roughly running top-left to bottom-right"}, {"id": "obj_2", "class": "ocean", "description": "Body of water with white breaking waves near shore", "position": "right half of image", "orientation": "waves approaching perpendicular to shore"}, {"id": "obj_3", "class": "beach", "description": "Light-colored sandy strip between buildings/vegetation and water", "position": "center to right-center horizontally, mid-height vertically", "orientation": "parallel to shoreline"}, {"id": "obj_4", "class": "buildings", "description": "Cluster of low to mid-rise urban buildings near the coast", "position": "left and upper-left areas of image", "orientation": "various orientations along coastline"}, {"id": "obj_5", "class": "vegetation", "description": "Tree canopy, likely palms or similar coastal trees, scattered near buildings and beach", "position": "lower half of image, particularly center-left", "orientation": "upright"}]</t>
  </si>
  <si>
    <t>Step 1 – Geolocation &amp; context: Likely a coastal urban environment in a warm climate (palm-like trees, surf, sandy beach). Could be many world regions; confidence is low due to extreme blur and absence of legible signage, vehicles, or clear architectural styles. Assumed to be a typical developed coastal city or town. Step 2 – Scene type: coastal/aquatic environment plus mixed urban/residential; no explicit roadway or pedestrians visible. Step 3 – Description: The frame is strongly out of focus, limiting detailed safety assessment. No clearly identifiable humans, vehicles, or specific hazards (e.g., visible flooding, structural damage) can be distinguished. Step 5–7 – Anomalies &amp; spatial localization: Because of the blur, subtle risks (e.g., swimmers in rough surf, damaged seawalls) cannot be reliably detected; to avoid false claims, no anomalies are reported. Overall, with available visual evidence, the scene appears typical for an urban coastline, so no abnormal risk is inferred.</t>
  </si>
  <si>
    <t>blurred_downsampled/bison6_jpg.rf.261cce5282ccdf21411e5c8716280aec.jpg</t>
  </si>
  <si>
    <t>Large bison standing on a paved road in a natural-urban interface area with vegetation and open terrain in the background.</t>
  </si>
  <si>
    <t>[{"id": "obj_1", "class": "animal", "description": "Large bison-like animal standing on the paved roadway, mostly centered in the frame", "position": "center of the traffic lane on the road surface", "orientation": "roughly side-on to the camera, occupying much of the lane width"}, {"id": "obj_2", "class": "roadway", "description": "Paved road or highway running horizontally across the image foreground", "position": "extends across the lower half of the image", "orientation": "horizontal relative to the frame"}, {"id": "obj_3", "class": "vegetation", "description": "Trees and natural vegetation along the far side of the road", "position": "background, upper half of the image behind the animal", "orientation": "bordering the road edge"}]</t>
  </si>
  <si>
    <t>[{"id": "anom_1", "related_objects": ["obj_1", "obj_2"], "type": "large_animal_on_roadway", "description": "A large bison is standing on the paved roadway, obstructing the lane and creating a collision and injury hazard for vehicles and potentially pedestrians.", "risk_score_1_to_10": 7, "risk_target": ["drivers", "vehicle_occupants", "pedestrians"], "region": {"x_center_norm": 0.5, "y_center_norm": 0.6, "width_norm": 0.5, "height_norm": 0.6}, "reasoning": "The animal is large, heavy, and fully on the road, where vehicles normally travel at speed. In many rural or park settings this does occur but remains hazardous because drivers may not expect a stationary bison blocking the lane, and any collision would be severe. Additionally, humans approaching too closely would face risk of being charged or gored."}]</t>
  </si>
  <si>
    <t>Geographic context is low- to medium-confidence; the animal appears to be a bison on a paved road in a natural or park-like area, possibly in North America. Even if such animal presence is locally common, it still poses significant road safety and human-wildlife interaction risk.</t>
  </si>
  <si>
    <t>blurred_downsampled/0081.jpg</t>
  </si>
  <si>
    <t>Heavily blurred dashcam-style view of a narrow two-way road in a semi-rural or suburban area with one car ahead of the camera vehicle.</t>
  </si>
  <si>
    <t>[{"id": "obj_1", "class": "car", "description": "Single car driving ahead in the same lane as the camera vehicle, centered in the frame.", "position": "center of road, middle distance ahead of observer", "orientation": "moving away from the camera, aligned with road direction"}, {"id": "obj_2", "class": "roadway", "description": "Narrow paved road extending forward from bottom center into distance.", "position": "occupies lower half of image, center", "orientation": "extends from bottom center toward upper center"}, {"id": "obj_3", "class": "utility_poles", "description": "Series of vertical poles likely for electricity or telecom along the sides of the road.", "position": "left and right margins of the roadway", "orientation": "vertical relative to ground"}, {"id": "obj_4", "class": "buildings", "description": "Blurred low-rise structures adjacent to the road, suggesting residential or semi-rural properties.", "position": "left and right sides beyond road edge", "orientation": "parallel to road alignment"}, {"id": "obj_5", "class": "vegetation", "description": "Trees or shrubs along the roadside and in the background.", "position": "primarily left and right edges of frame", "orientation": "vertical tree forms and irregular shrubbery"}]</t>
  </si>
  <si>
    <t>The image is extremely blurred, limiting detailed assessment of signage, lane markings, pedestrians, and specific hazards. Within what can be seen, the presence of a single car ahead on a narrow road appears normal for a semi-rural/suburban traffic environment, with no clear anomalies or abnormal risks detectable.</t>
  </si>
  <si>
    <t>blurred_downsampled/anomaly_358.png</t>
  </si>
  <si>
    <t>Urban sidewalk blocked by a large pile of cardboard boxes and debris next to a parked car.</t>
  </si>
  <si>
    <t>[{"id": "obj_1", "class": "sidewalk", "description": "Paved pedestrian sidewalk in the foreground with textured tiles", "position": "bottom and center of the image", "orientation": "running roughly from bottom toward upper part of the image"}, {"id": "obj_2", "class": "parked_car", "description": "White SUV-type vehicle parked along the edge of the sidewalk", "position": "mid-right of the image, parallel to the sidewalk", "orientation": "oriented roughly left-right across the frame"}, {"id": "obj_3", "class": "cardboard_boxes_debris", "description": "Large pile of cardboard boxes and packaging materials scattered across the sidewalk area", "position": "center of the image, spanning from left to right across the sidewalk in front of the parked car", "orientation": "irregular pile covering most of the walking area"}, {"id": "obj_4", "class": "building_wall", "description": "Light-colored building wall running along the sidewalk", "position": "left side background of the image", "orientation": "vertical surface parallel to the sidewalk"}, {"id": "obj_5", "class": "tree", "description": "Tree trunk adjacent to the sidewalk", "position": "left foreground", "orientation": "vertical"}]</t>
  </si>
  <si>
    <t>[{"id": "anom_1", "related_objects": ["obj_1", "obj_3"], "type": "blocked_sidewalk_obstruction", "description": "The sidewalk is heavily obstructed by a large pile of cardboard boxes and debris, leaving little to no clear path for pedestrians.", "risk_score_1_to_10": 6, "risk_target": ["pedestrians"], "region": {"x_center_norm": 0.5, "y_center_norm": 0.6, "width_norm": 0.9, "height_norm": 0.5}, "reasoning": "The boxes and debris cover the main walking area, forcing pedestrians, including those with strollers or mobility impairments, to step around or onto the street. This presents tripping hazards and may push people into conflict with traffic. While not immediately life-threatening, it is a clear safety and accessibility violation."}]</t>
  </si>
  <si>
    <t>Geolocation confidence is low; environment appears to be a generic urban street in a temperate or warm climate. Risk is primarily due to pedestrian obstruction and potential trip hazards rather than direct vehicle collision in this single frame.</t>
  </si>
  <si>
    <t>blurred_downsampled/7003.jpg</t>
  </si>
  <si>
    <t>Heavily blurred view of a road or path flanked by dense green vegetation or trees, with no distinguishable people or vehicles.</t>
  </si>
  <si>
    <t>[{"id": "obj_1", "class": "roadway", "description": "Central grayish strip consistent with a paved road or path receding into the distance", "position": "center foreground to center background", "orientation": "aligned roughly vertically from bottom center toward top center"}, {"id": "obj_2", "class": "vegetation", "description": "Green areas on both sides of the central road, likely trees and foliage forming a corridor", "position": "left and right sides of the scene", "orientation": "surrounding and overhanging the road area"}]</t>
  </si>
  <si>
    <t>Image is extremely blurred, preventing identification of specific hazards such as vehicles, pedestrians, animals, or road markings. No explicit anomaly or abnormal risk can be reliably detected under this level of detail.</t>
  </si>
  <si>
    <t>blurred_downsampled/0047.jpg</t>
  </si>
  <si>
    <t>Extremely blurred view of a wet paved surface, possibly a street or sidewalk with a dark circular area that may be a manhole cover or puddle.</t>
  </si>
  <si>
    <t>[{"id": "obj_1", "class": "paved_surface", "description": "Wet block- or brick-patterned paved ground covering most of the frame", "position": "extends across the scene from bottom to top", "orientation": "horizontal ground plane"}, {"id": "obj_2", "class": "possible_manhole_or_puddle", "description": "Dark circular or oval shape on the paved surface near the lower-left/center area, possibly a manhole cover, hole, or deep puddle", "position": "lower-left to center area of the frame", "orientation": "embedded in or on the pavement"}]</t>
  </si>
  <si>
    <t>The image is heavily blurred, preventing reliable identification of specific hazards such as an open manhole, subsidence, or standing water depth. While the dark circular area on the pavement could represent a potential trip or fall hazard (e.g., a hole or uneven surface), the blur level makes this uncertain, so no explicit anomaly is recorded. If this were a real-world assessment, higher-resolution imagery or an on-site inspection would be needed.</t>
  </si>
  <si>
    <t>blurred_downsampled/normal_219.png</t>
  </si>
  <si>
    <t>Blurred view of an urban sidewalk along a street with parked vehicles and buildings.</t>
  </si>
  <si>
    <t>[{"id": "obj_1", "class": "sidewalk", "description": "Brick or tile-paved sidewalk extending into the distance along the left side of buildings", "position": "foreground and midground, occupying most of the left and center of the image", "orientation": "aligned longitudinally with the street, receding away from the camera"}, {"id": "obj_2", "class": "parked_vehicle", "description": "Row of light-colored parked vehicles along the street beside the sidewalk", "position": "left edge of the image, parallel to the sidewalk", "orientation": "oriented along the street away from the camera"}, {"id": "obj_3", "class": "building", "description": "Multi-story buildings flanking the sidewalk", "position": "right side and background of the scene", "orientation": "facades parallel to the sidewalk"}, {"id": "obj_4", "class": "vegetation", "description": "Tree or large shrub overhanging the sidewalk near a wall or fence", "position": "upper central-right area, above the sidewalk edge", "orientation": "branches extending over the path"}, {"id": "obj_5", "class": "fence_or_wall", "description": "Low wall or fence separating private property from the sidewalk", "position": "right side of sidewalk, midground", "orientation": "parallel to the sidewalk"}]</t>
  </si>
  <si>
    <t>The image is heavily blurred, so fine details such as pedestrians, small obstacles, or signage cannot be reliably identified. Based on visible structure, no clear anomaly or abnormal risk can be confidently detected.</t>
  </si>
  <si>
    <t>blurred_downsampled/7604.jpg</t>
  </si>
  <si>
    <t>Highly blurred view of a paved surface with parallel light/dark bands and a circular manhole or drain cover.</t>
  </si>
  <si>
    <t>[{"id": "obj_1", "class": "road_surface", "description": "Paved ground with alternating lighter and darker stripes, possibly a crosswalk or lane markings", "position": "occupies the full background of the scene", "orientation": "horizontal stripes across image"}, {"id": "obj_2", "class": "manhole_cover", "description": "Circular feature resembling a manhole or drain cover on the paved surface", "position": "lower-right quadrant of the image", "orientation": "lying flat, flush with surface"}]</t>
  </si>
  <si>
    <t>Step 1 – Geolocation &amp; context: Due to extreme blurring, only a generic paved surface and a circular cover are visible. This is consistent with urban or suburban roadway infrastructure in many countries; confidence is low and no specific region can be inferred. Step 2 – Scene type: Likely roadway/traffic or sidewalk/pedestrian zone in a residential/mixed-urban environment. Step 3 – Description: No people, vehicles, or dynamic elements are discernible. Step 4 – Object identification: Only the surface and a probable manhole cover can be reliably identified. Steps 5–7 – Anomaly &amp; risk: No clear anomalies are visible, and no immediate safety risk can be assessed from this single, heavily blurred frame; overall risk scored as 0 out of caution. Uncertainty is high because finer details (e.g., open cover, cracks) cannot be checked due to blur.</t>
  </si>
  <si>
    <t>blurred_downsampled/clm_s_01_2011-10-30-12-00.png</t>
  </si>
  <si>
    <t>Heavily blurred coastal urban scene with buildings, palm trees, and rough-looking ocean waves along a shoreline.</t>
  </si>
  <si>
    <t>[{"id": "obj_1", "class": "building", "description": "Light-colored multi-story building near the left side of the frame close to the shoreline.", "position": "left foreground near coast", "orientation": "faces toward water"}, {"id": "obj_2", "class": "coastline", "description": "Beach or shoreline running diagonally across the center-right of the image with waves breaking onto it.", "position": "central and right side from middle to lower edge", "orientation": "shoreline roughly diagonal from bottom-left toward upper-right"}, {"id": "obj_3", "class": "ocean", "description": "Large body of water with visible waves and whitecaps.", "position": "middle and right portions of the image extending toward the horizon", "orientation": "waves approaching the shore"}, {"id": "obj_4", "class": "vegetation", "description": "Cluster of tall palm-like trees near the shore.", "position": "lower central and right foreground", "orientation": "upright along coast"}, {"id": "obj_5", "class": "urban_area", "description": "Additional distant buildings or structures along the far shoreline.", "position": "upper left and upper central background", "orientation": "aligned along coastline"}]</t>
  </si>
  <si>
    <t>[{"id": "anom_1", "related_objects": ["obj_2", "obj_3"], "type": "rough_sea_conditions", "description": "Waves appear large and turbulent along the shoreline, indicating potentially hazardous surf or stormy sea conditions for coastal users.", "risk_score_1_to_10": 4, "risk_target": ["swimmers", "beachgoers", "small_boat_operators"], "region": {"x_center_norm": 0.7, "y_center_norm": 0.55, "width_norm": 0.6, "height_norm": 0.7}, "reasoning": "Despite the blur, the water surface shows pronounced white bands of breaking waves close to shore, suggesting strong surf or storm conditions. This increases drowning and impact risk for swimmers or people near the waterline, though no individuals are visible, so the immediate danger is inferred but not confirmed."}]</t>
  </si>
  <si>
    <t>Geolocation and context: low-confidence inference of a tropical or subtropical coastal city based on palm trees and shoreline. Image is very blurred, limiting detection of people, vehicles, or detailed infrastructure; risk assessment is conservative and based mainly on sea state.</t>
  </si>
  <si>
    <t>Risk</t>
  </si>
  <si>
    <t>Name</t>
  </si>
  <si>
    <t>Namef</t>
  </si>
  <si>
    <t>0001</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</si>
  <si>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</si>
  <si>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</si>
  <si>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</si>
  <si>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</si>
  <si>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</si>
  <si>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</si>
  <si>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</si>
  <si>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</si>
  <si>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</si>
  <si>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</si>
  <si>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</si>
  <si>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</si>
  <si>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</si>
  <si>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</si>
  <si>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</si>
  <si>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</si>
  <si>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</si>
  <si>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</si>
  <si>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</si>
  <si>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</si>
  <si>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</si>
  <si>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</si>
  <si>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</si>
  <si>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</si>
  <si>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</si>
  <si>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</si>
  <si>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</si>
  <si>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</si>
  <si>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</si>
  <si>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</si>
  <si>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</si>
  <si>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</si>
  <si>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</si>
  <si>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</si>
  <si>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</si>
  <si>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</si>
  <si>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</si>
  <si>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</si>
  <si>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</si>
  <si>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</si>
  <si>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</si>
  <si>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</si>
  <si>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</si>
  <si>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</si>
  <si>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</si>
  <si>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</si>
  <si>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</si>
  <si>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</si>
  <si>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</si>
  <si>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</si>
  <si>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</si>
  <si>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</si>
  <si>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</si>
  <si>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</si>
  <si>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</si>
  <si>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</si>
  <si>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</si>
  <si>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</si>
  <si>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</si>
  <si>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</si>
  <si>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</si>
  <si>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</si>
  <si>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</si>
  <si>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</si>
  <si>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</si>
  <si>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</si>
  <si>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</si>
  <si>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</si>
  <si>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</si>
  <si>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</si>
  <si>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</si>
  <si>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</si>
  <si>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</si>
  <si>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</si>
  <si>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</si>
  <si>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</si>
  <si>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</si>
  <si>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</si>
  <si>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</si>
  <si>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</si>
  <si>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</si>
  <si>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</si>
  <si>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</si>
  <si>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</si>
  <si>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</si>
  <si>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</si>
  <si>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</si>
  <si>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</si>
  <si>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</si>
  <si>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</si>
  <si>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</si>
  <si>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</si>
  <si>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</si>
  <si>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</si>
  <si>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</si>
  <si>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</si>
  <si>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</si>
  <si>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</si>
  <si>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</si>
  <si>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</si>
  <si>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</si>
  <si>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</si>
  <si>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</si>
  <si>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</si>
  <si>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</si>
  <si>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</si>
  <si>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</si>
  <si>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</si>
  <si>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</si>
  <si>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0121</t>
  </si>
  <si>
    <t>/000</t>
  </si>
  <si>
    <t>/021</t>
  </si>
  <si>
    <t>/036</t>
  </si>
  <si>
    <t>/039</t>
  </si>
  <si>
    <t>/045</t>
  </si>
  <si>
    <t>/049</t>
  </si>
  <si>
    <t>/050</t>
  </si>
  <si>
    <t>/051</t>
  </si>
  <si>
    <t>/090</t>
  </si>
  <si>
    <t>/098</t>
  </si>
  <si>
    <t>1001</t>
  </si>
  <si>
    <t>1002</t>
  </si>
  <si>
    <t>1005</t>
  </si>
  <si>
    <t>/103</t>
  </si>
  <si>
    <t>1047</t>
  </si>
  <si>
    <t>1049</t>
  </si>
  <si>
    <t>1052</t>
  </si>
  <si>
    <t>1053</t>
  </si>
  <si>
    <t>1060</t>
  </si>
  <si>
    <t>d/11</t>
  </si>
  <si>
    <t>1111</t>
  </si>
  <si>
    <t>1132</t>
  </si>
  <si>
    <t>d/17</t>
  </si>
  <si>
    <t>/209</t>
  </si>
  <si>
    <t>1600</t>
  </si>
  <si>
    <t>d/26</t>
  </si>
  <si>
    <t>d/28</t>
  </si>
  <si>
    <t>ed/5</t>
  </si>
  <si>
    <t>/503</t>
  </si>
  <si>
    <t>/504</t>
  </si>
  <si>
    <t>/525</t>
  </si>
  <si>
    <t>/531</t>
  </si>
  <si>
    <t>/535</t>
  </si>
  <si>
    <t>/541</t>
  </si>
  <si>
    <t>/543</t>
  </si>
  <si>
    <t>/584</t>
  </si>
  <si>
    <t>/603</t>
  </si>
  <si>
    <t>/605</t>
  </si>
  <si>
    <t>d/61</t>
  </si>
  <si>
    <t>d/63</t>
  </si>
  <si>
    <t>d/66</t>
  </si>
  <si>
    <t>7001</t>
  </si>
  <si>
    <t>7003</t>
  </si>
  <si>
    <t>7004</t>
  </si>
  <si>
    <t>7006</t>
  </si>
  <si>
    <t>7604</t>
  </si>
  <si>
    <t>7605</t>
  </si>
  <si>
    <t>7608</t>
  </si>
  <si>
    <t>7628</t>
  </si>
  <si>
    <t>7714</t>
  </si>
  <si>
    <t>7801</t>
  </si>
  <si>
    <t>3949</t>
  </si>
  <si>
    <t>edab</t>
  </si>
  <si>
    <t>_034</t>
  </si>
  <si>
    <t>_048</t>
  </si>
  <si>
    <t>_067</t>
  </si>
  <si>
    <t>_074</t>
  </si>
  <si>
    <t>_102</t>
  </si>
  <si>
    <t>_112</t>
  </si>
  <si>
    <t>_168</t>
  </si>
  <si>
    <t>_230</t>
  </si>
  <si>
    <t>_335</t>
  </si>
  <si>
    <t>_358</t>
  </si>
  <si>
    <t>6c56</t>
  </si>
  <si>
    <t>0aec</t>
  </si>
  <si>
    <t>5cd4</t>
  </si>
  <si>
    <t>bad1</t>
  </si>
  <si>
    <t>1_31</t>
  </si>
  <si>
    <t>2_36</t>
  </si>
  <si>
    <t>3_28</t>
  </si>
  <si>
    <t>4_14</t>
  </si>
  <si>
    <t>5_26</t>
  </si>
  <si>
    <t>6_25</t>
  </si>
  <si>
    <t>7_20</t>
  </si>
  <si>
    <t>8_18</t>
  </si>
  <si>
    <t>9_28</t>
  </si>
  <si>
    <t>4_24</t>
  </si>
  <si>
    <t>1-00</t>
  </si>
  <si>
    <t>2-00</t>
  </si>
  <si>
    <t>7-00</t>
  </si>
  <si>
    <t>3-00</t>
  </si>
  <si>
    <t>4-00</t>
  </si>
  <si>
    <t>5-00</t>
  </si>
  <si>
    <t>36d2</t>
  </si>
  <si>
    <t>63d4</t>
  </si>
  <si>
    <t>8900</t>
  </si>
  <si>
    <t>aJ7Q</t>
  </si>
  <si>
    <t>c055</t>
  </si>
  <si>
    <t>_012</t>
  </si>
  <si>
    <t>_021</t>
  </si>
  <si>
    <t>_039</t>
  </si>
  <si>
    <t>_075</t>
  </si>
  <si>
    <t>_111</t>
  </si>
  <si>
    <t>_129</t>
  </si>
  <si>
    <t>_156</t>
  </si>
  <si>
    <t>_183</t>
  </si>
  <si>
    <t>_219</t>
  </si>
  <si>
    <t>2061</t>
  </si>
  <si>
    <t>9335</t>
  </si>
  <si>
    <t>4751</t>
  </si>
  <si>
    <t>9473</t>
  </si>
  <si>
    <t>9105</t>
  </si>
  <si>
    <t>13Pw</t>
  </si>
  <si>
    <t>C4DQ</t>
  </si>
  <si>
    <t>Ty5w</t>
  </si>
  <si>
    <t>5vXw</t>
  </si>
  <si>
    <t>Image</t>
  </si>
  <si>
    <t>Risk Mixed</t>
  </si>
  <si>
    <t>Risk DSB</t>
  </si>
  <si>
    <t>Average</t>
  </si>
  <si>
    <t>Delta</t>
  </si>
  <si>
    <t>Median</t>
  </si>
  <si>
    <t>StandarD</t>
  </si>
  <si>
    <t>DSB</t>
  </si>
  <si>
    <t>Count</t>
  </si>
  <si>
    <t xml:space="preserve">% of sample </t>
  </si>
  <si>
    <t>Risk sevirity</t>
  </si>
  <si>
    <t>% of sample Mixed group</t>
  </si>
  <si>
    <t>% of sample Down-sampled blurred</t>
  </si>
  <si>
    <t>Delta % from Mixed to DSB</t>
  </si>
  <si>
    <t>Abs</t>
  </si>
  <si>
    <t>Rank D</t>
  </si>
  <si>
    <t>Statistic</t>
  </si>
  <si>
    <t>N images (paired)</t>
  </si>
  <si>
    <t>Mean overall risk (Mixed)</t>
  </si>
  <si>
    <t>Mean overall risk (DSBlurred, aggregated)</t>
  </si>
  <si>
    <t>Mean Δ overall risk (DS - Mixed)</t>
  </si>
  <si>
    <t>95% CI for mean Δ overall risk</t>
  </si>
  <si>
    <t>Paired t-test p (overall risk)</t>
  </si>
  <si>
    <t>Wilcoxon p (overall risk)</t>
  </si>
  <si>
    <t>Pearson r (overall risk)</t>
  </si>
  <si>
    <t>Pearson p</t>
  </si>
  <si>
    <t>Spearman ρ (overall risk)</t>
  </si>
  <si>
    <t>Spearman p</t>
  </si>
  <si>
    <t>Mean #anomalies (Mixed)</t>
  </si>
  <si>
    <t>Mean #anomalies (DSBlurred, aggregated)</t>
  </si>
  <si>
    <t>Mean Δ #anomalies (DS - Mixed)</t>
  </si>
  <si>
    <t>95% CI for mean Δ #anomalies</t>
  </si>
  <si>
    <t>Paired t-test p (#anomalies)</t>
  </si>
  <si>
    <t>Wilcoxon p (#anomalies)</t>
  </si>
  <si>
    <t>Mean anomaly-type Jaccard</t>
  </si>
  <si>
    <t>% exact type match (Jaccard=1)</t>
  </si>
  <si>
    <t>Value</t>
  </si>
  <si>
    <t>0121.jpg</t>
  </si>
  <si>
    <t>0110.jpg</t>
  </si>
  <si>
    <t>0109.jpg</t>
  </si>
  <si>
    <t>0108.jpg</t>
  </si>
  <si>
    <t>0107.jpg</t>
  </si>
  <si>
    <t>0106.jpg</t>
  </si>
  <si>
    <t>0105.jpg</t>
  </si>
  <si>
    <t>0104.jpg</t>
  </si>
  <si>
    <t>0103.jpg</t>
  </si>
  <si>
    <t>0102.png</t>
  </si>
  <si>
    <t>0101.png</t>
  </si>
  <si>
    <t>0100.png</t>
  </si>
  <si>
    <t>0099.png</t>
  </si>
  <si>
    <t>0098.png</t>
  </si>
  <si>
    <t>0097.png</t>
  </si>
  <si>
    <t>0096.png</t>
  </si>
  <si>
    <t>0095.png</t>
  </si>
  <si>
    <t>0094.png</t>
  </si>
  <si>
    <t>0093.png</t>
  </si>
  <si>
    <t>0092.jpg</t>
  </si>
  <si>
    <t>0091.jpg</t>
  </si>
  <si>
    <t>0090.jpg</t>
  </si>
  <si>
    <t>0089.jpg</t>
  </si>
  <si>
    <t>0088.jpg</t>
  </si>
  <si>
    <t>0087.jpg</t>
  </si>
  <si>
    <t>0086.jpg</t>
  </si>
  <si>
    <t>0085.jpg</t>
  </si>
  <si>
    <t>0084.jpg</t>
  </si>
  <si>
    <t>0083.jpg</t>
  </si>
  <si>
    <t>0082.jpg</t>
  </si>
  <si>
    <t>0081.jpg</t>
  </si>
  <si>
    <t>0080.jpg</t>
  </si>
  <si>
    <t>0079.jpg</t>
  </si>
  <si>
    <t>0078.jpg</t>
  </si>
  <si>
    <t>0077.png</t>
  </si>
  <si>
    <t>0076.png</t>
  </si>
  <si>
    <t>0075.png</t>
  </si>
  <si>
    <t>0074.png</t>
  </si>
  <si>
    <t>0073.png</t>
  </si>
  <si>
    <t>0072.png</t>
  </si>
  <si>
    <t>0071.png</t>
  </si>
  <si>
    <t>0070.png</t>
  </si>
  <si>
    <t>0069.png</t>
  </si>
  <si>
    <t>0068.png</t>
  </si>
  <si>
    <t>0067.jpg</t>
  </si>
  <si>
    <t>0066.jpg</t>
  </si>
  <si>
    <t>0065.jpg</t>
  </si>
  <si>
    <t>0064.jpg</t>
  </si>
  <si>
    <t>0063.png</t>
  </si>
  <si>
    <t>0062.png</t>
  </si>
  <si>
    <t>0061.png</t>
  </si>
  <si>
    <t>0060.png</t>
  </si>
  <si>
    <t>0059.png</t>
  </si>
  <si>
    <t>0058.png</t>
  </si>
  <si>
    <t>0057.png</t>
  </si>
  <si>
    <t>0056.png</t>
  </si>
  <si>
    <t>0055.png</t>
  </si>
  <si>
    <t>0054.png</t>
  </si>
  <si>
    <t>0053.jpg</t>
  </si>
  <si>
    <t>0052.jpg</t>
  </si>
  <si>
    <t>0051.jpg</t>
  </si>
  <si>
    <t>0050.jpg</t>
  </si>
  <si>
    <t>0049.jpg</t>
  </si>
  <si>
    <t>0048.jpg</t>
  </si>
  <si>
    <t>0047.jpg</t>
  </si>
  <si>
    <t>0046.jpg</t>
  </si>
  <si>
    <t>0045.jpg</t>
  </si>
  <si>
    <t>0044.jpg</t>
  </si>
  <si>
    <t>0043.jpg</t>
  </si>
  <si>
    <t>0042.jpg</t>
  </si>
  <si>
    <t>0041.jpg</t>
  </si>
  <si>
    <t>0040.jpg</t>
  </si>
  <si>
    <t>0039.jpg</t>
  </si>
  <si>
    <t>0038.jpg</t>
  </si>
  <si>
    <t>0037.jpg</t>
  </si>
  <si>
    <t>0036.jpg</t>
  </si>
  <si>
    <t>0035.jpg</t>
  </si>
  <si>
    <t>0034.jpg</t>
  </si>
  <si>
    <t>0033.jpg</t>
  </si>
  <si>
    <t>0032.jpg</t>
  </si>
  <si>
    <t>0031.jpg</t>
  </si>
  <si>
    <t>0030.jpg</t>
  </si>
  <si>
    <t>0029.jpg</t>
  </si>
  <si>
    <t>0028.jpg</t>
  </si>
  <si>
    <t>0027.jpg</t>
  </si>
  <si>
    <t>0026.jpg</t>
  </si>
  <si>
    <t>0025.jpg</t>
  </si>
  <si>
    <t>0024.jpg</t>
  </si>
  <si>
    <t>0023.jpg</t>
  </si>
  <si>
    <t>0022.jpg</t>
  </si>
  <si>
    <t>0021.jpg</t>
  </si>
  <si>
    <t>0020.jpg</t>
  </si>
  <si>
    <t>0019.jpg</t>
  </si>
  <si>
    <t>0018.jpg</t>
  </si>
  <si>
    <t>0017.jpg</t>
  </si>
  <si>
    <t>0016.jpg</t>
  </si>
  <si>
    <t>0015.jpg</t>
  </si>
  <si>
    <t>0014.jpg</t>
  </si>
  <si>
    <t>0013.jpg</t>
  </si>
  <si>
    <t>0012.jpg</t>
  </si>
  <si>
    <t>0011.jpg</t>
  </si>
  <si>
    <t>0010.png</t>
  </si>
  <si>
    <t>0009.png</t>
  </si>
  <si>
    <t>0008.png</t>
  </si>
  <si>
    <t>0007.png</t>
  </si>
  <si>
    <t>0006.png</t>
  </si>
  <si>
    <t>0005.png</t>
  </si>
  <si>
    <t>0004.png</t>
  </si>
  <si>
    <t>0003.png</t>
  </si>
  <si>
    <t>0002.png</t>
  </si>
  <si>
    <t>0001.png</t>
  </si>
  <si>
    <t>delta_n_anomalies</t>
  </si>
  <si>
    <t>delta_overall_risk</t>
  </si>
  <si>
    <t>max_anom_risk_ds</t>
  </si>
  <si>
    <t>overall_risk_ds</t>
  </si>
  <si>
    <t>n_anomalies_ds</t>
  </si>
  <si>
    <t>max_anom_risk_mixed</t>
  </si>
  <si>
    <t>overall_risk_mixed</t>
  </si>
  <si>
    <t>n_anomalies_mixed</t>
  </si>
  <si>
    <t>basename</t>
  </si>
  <si>
    <t>-2.821 to -1.809</t>
  </si>
  <si>
    <t>-0.628 to -0.399</t>
  </si>
  <si>
    <t>PairedTtest</t>
  </si>
  <si>
    <t>cyclists;drivers;general_civilians;pedestrians</t>
  </si>
  <si>
    <t>urban_flooding_with_pedestrian_and_vehicle_exposure</t>
  </si>
  <si>
    <t>pedestrian_in_deep_water_with_vehicle;urban_flooding</t>
  </si>
  <si>
    <t>drivers;motorcyclists;pedestrians</t>
  </si>
  <si>
    <t>drivers;pedestrians</t>
  </si>
  <si>
    <t>animals_in_travel_lane</t>
  </si>
  <si>
    <t>animals_in_traffic_lane;slip_contamination_on_road</t>
  </si>
  <si>
    <t>cyclists;drivers;pedestrians</t>
  </si>
  <si>
    <t>animal_on_roadway</t>
  </si>
  <si>
    <t>animal_in_roadway;obstruction_and_potential_hazardous_cylinder</t>
  </si>
  <si>
    <t>drivers;general_civilians;pedestrians</t>
  </si>
  <si>
    <t>dense_overhead_wiring;low_hanging_tarps_and_obstructed_visibility;mixed_traffic_with_pedestrians_in_very_narrow_space</t>
  </si>
  <si>
    <t>mixed_traffic_with_pedestrians_and_animals;overhead_cable_and_tarp_hazard</t>
  </si>
  <si>
    <t>cyclists;drivers;motorcyclists;pedestrians</t>
  </si>
  <si>
    <t>pedestrian_activity_in_roadway_margin;stopped_vehicle_in_traffic_lane</t>
  </si>
  <si>
    <t>pedestrians</t>
  </si>
  <si>
    <t>damaged_sidewalk_and_pole_base</t>
  </si>
  <si>
    <t>trip_hazard_on_sidewalk_near_crosswalk</t>
  </si>
  <si>
    <t>sidewalk_obstruction_and_surface_hazard</t>
  </si>
  <si>
    <t>sidewalk_obstruction;trip_or_fall_hazard</t>
  </si>
  <si>
    <t>uneven_damaged_sidewalk_surface</t>
  </si>
  <si>
    <t>trip_hazard_opening;uneven_edge_surface</t>
  </si>
  <si>
    <t>drivers;general_civilians;vehicle_occupants</t>
  </si>
  <si>
    <t>drivers;vehicle_occupants</t>
  </si>
  <si>
    <t>large_animal_on_roadway</t>
  </si>
  <si>
    <t>road_surface_debris</t>
  </si>
  <si>
    <t>drivers;pedestrians;vehicle occupants</t>
  </si>
  <si>
    <t>large wildlife on roadway;pedestrians in close proximity to large wild animal;stopped vehicles and pedestrians mixing on roadway</t>
  </si>
  <si>
    <t>drivers</t>
  </si>
  <si>
    <t>large_animal_in_roadway</t>
  </si>
  <si>
    <t>large animal on roadway;slippery road surface</t>
  </si>
  <si>
    <t>pedestrians_and_stopped_activity_on_high-speed_rural_road</t>
  </si>
  <si>
    <t>slippery_snow_covered_road</t>
  </si>
  <si>
    <t>icy_snow_covered_road</t>
  </si>
  <si>
    <t>close following distance on potentially icy road</t>
  </si>
  <si>
    <t>unsafe close proximity between vehicles</t>
  </si>
  <si>
    <t>snow_covered_road_low_visibility</t>
  </si>
  <si>
    <t>reduced_parking_clearance_due_to_snowbanks;snow_covered_roadway</t>
  </si>
  <si>
    <t>cross-traffic vehicle conflict</t>
  </si>
  <si>
    <t>potential_vehicle_conflict</t>
  </si>
  <si>
    <t>overturned_vehicle_obstructing_roadway</t>
  </si>
  <si>
    <t>drivers;pedestrians;vehicle_occupants</t>
  </si>
  <si>
    <t>potential collision / right-of-way conflict</t>
  </si>
  <si>
    <t>intersection right-of-way violation / near-collision</t>
  </si>
  <si>
    <t>lone_person_near_rough_sea</t>
  </si>
  <si>
    <t>general_civilians;swimmers</t>
  </si>
  <si>
    <t>rough_sea_conditions</t>
  </si>
  <si>
    <t>reduced_visibility_haze;rough_sea_with_beachgoers</t>
  </si>
  <si>
    <t>cyclists;drivers</t>
  </si>
  <si>
    <t>animal on roadway</t>
  </si>
  <si>
    <t>large_wild_animal_on_roadway</t>
  </si>
  <si>
    <t>large_animals_on_roadway</t>
  </si>
  <si>
    <t>large_wild_animals_on_roadway</t>
  </si>
  <si>
    <t>general_civilians;pedestrians</t>
  </si>
  <si>
    <t>sidewalk_obstruction_litter</t>
  </si>
  <si>
    <t>litter_environmental_nuisance;sidewalk_obstruction_waste</t>
  </si>
  <si>
    <t>pedestrian_trip_obstruction</t>
  </si>
  <si>
    <t>sidewalk_obstruction_by_debris</t>
  </si>
  <si>
    <t>fallen_scooter_in_traffic_area</t>
  </si>
  <si>
    <t>sidewalk_obstruction</t>
  </si>
  <si>
    <t>vegetation obstructing sidewalk</t>
  </si>
  <si>
    <t>sidewalk_obstruction_vegetation</t>
  </si>
  <si>
    <t>trip_hazard_on_sidewalk</t>
  </si>
  <si>
    <t>narrow, cluttered pedestrian corridor;sidewalk obstruction by parked vehicles</t>
  </si>
  <si>
    <t>pedestrians;stroller_users;visually_impaired_pedestrians;wheelchair_users</t>
  </si>
  <si>
    <t>obstructed_sidewalk</t>
  </si>
  <si>
    <t>combined_clearance_hazard;sidewalk_obstruction_infrastructure;sidewalk_obstruction_vehicle</t>
  </si>
  <si>
    <t>sidewalk obstruction by parked vehicle</t>
  </si>
  <si>
    <t>large_animal_on_roadway_shoulder</t>
  </si>
  <si>
    <t>open_or_unsecured_ground_opening</t>
  </si>
  <si>
    <t>trip_hazard_from_sculpture_layout</t>
  </si>
  <si>
    <t>trip_slip_hazard</t>
  </si>
  <si>
    <t>open_manhole_in_crosswalk</t>
  </si>
  <si>
    <t>sun_glare_on_road</t>
  </si>
  <si>
    <t>drivers;general_civilians;passengers</t>
  </si>
  <si>
    <t>vehicle_off_road_crash</t>
  </si>
  <si>
    <t>cyclists;drivers;motorcyclists</t>
  </si>
  <si>
    <t>road_surface_damage</t>
  </si>
  <si>
    <t>severe_road_surface_damage</t>
  </si>
  <si>
    <t>road_surface_hazard</t>
  </si>
  <si>
    <t>severely damaged road surface</t>
  </si>
  <si>
    <t>road_surface_defect_or_spill</t>
  </si>
  <si>
    <t>damaged_pavement</t>
  </si>
  <si>
    <t>cyclists</t>
  </si>
  <si>
    <t>damaged_bike_infrastructure</t>
  </si>
  <si>
    <t>cyclists;drivers;nearby_residents;pedestrians</t>
  </si>
  <si>
    <t>severe_infrastructure_damage</t>
  </si>
  <si>
    <t>coastal_infrastructure_erosion_risk;severely_damaged_roadway</t>
  </si>
  <si>
    <t>cyclists;drivers;motorcyclists;vehicle_occupants</t>
  </si>
  <si>
    <t>damaged_road_surface</t>
  </si>
  <si>
    <t>severe_road_surface_failure</t>
  </si>
  <si>
    <t>road_surface_damage_potholes</t>
  </si>
  <si>
    <t>severely_degraded_road_surface</t>
  </si>
  <si>
    <t>severely_deteriorated_pavement</t>
  </si>
  <si>
    <t>deteriorated_road_edge;severely_damaged_road_surface</t>
  </si>
  <si>
    <t>road_surface_deterioration</t>
  </si>
  <si>
    <t>cyclists;drivers;vehicle_occupants</t>
  </si>
  <si>
    <t>road_surface_damage_pothole</t>
  </si>
  <si>
    <t>large pothole in traffic lane</t>
  </si>
  <si>
    <t>road_surface_damage_suspected</t>
  </si>
  <si>
    <t>severely_deteriorated_road_surface</t>
  </si>
  <si>
    <t>drivers;motorcyclists;passengers;pedestrians</t>
  </si>
  <si>
    <t>severe_traffic_congestion</t>
  </si>
  <si>
    <t>severe_traffic_congestion;vulnerable_users_near_dense_traffic_on_wet_road</t>
  </si>
  <si>
    <t>large_pothole_or_surface_collapse</t>
  </si>
  <si>
    <t>severe_roadway_damage</t>
  </si>
  <si>
    <t>open_manhole_in_traffic_lane</t>
  </si>
  <si>
    <t>open_manhole_on_road</t>
  </si>
  <si>
    <t>insufficiently_marked_open_manhole</t>
  </si>
  <si>
    <t>cyclists;pedestrians;scooter_riders</t>
  </si>
  <si>
    <t>cyclists;scooter riders</t>
  </si>
  <si>
    <t>damaged_infrastructure_pothole</t>
  </si>
  <si>
    <t>general_civilians;pedestrians;workers</t>
  </si>
  <si>
    <t>pedestrians;workers</t>
  </si>
  <si>
    <t>unprotected_opening;work_area_without_clear_delimitation</t>
  </si>
  <si>
    <t>trip_and_entanglement_hazard;unprotected_open_manhole_or_tank</t>
  </si>
  <si>
    <t>open_hole_in_pedestrian_or_road_area</t>
  </si>
  <si>
    <t>open_hole_in_pedestrian_area</t>
  </si>
  <si>
    <t>unprotected_open_hole_in_path</t>
  </si>
  <si>
    <t>uncovered_manhole_near_traffic</t>
  </si>
  <si>
    <t>unprotected_open_manhole</t>
  </si>
  <si>
    <t>uncovered_manhole_or_large_pothole</t>
  </si>
  <si>
    <t>severe_road_surface_hazard;widespread_road_deterioration</t>
  </si>
  <si>
    <t>uncovered_manhole_in_path</t>
  </si>
  <si>
    <t>open_manhole_unprotected</t>
  </si>
  <si>
    <t>open_manhole_in_roadway</t>
  </si>
  <si>
    <t>vehicle_obstructing_sidewalk</t>
  </si>
  <si>
    <t>emergency_services;general_civilians;pedestrians</t>
  </si>
  <si>
    <t>obstructed_sidewalk_from_debris;potential_access_block_to_fire_fixture</t>
  </si>
  <si>
    <t>potential_obstruction_of_fire_hydrant;sidewalk_obstruction_by_bulk_waste;slip_and_trip_hazard</t>
  </si>
  <si>
    <t>conflicting signal for pedestrians and vehicles</t>
  </si>
  <si>
    <t>limited_visibility_crosswalk_at_night</t>
  </si>
  <si>
    <t>blocked_or_constricted_lane</t>
  </si>
  <si>
    <t>narrowed_pedestrian_space;sidewalk_obstruction</t>
  </si>
  <si>
    <t>slip_hazard_on_walkway</t>
  </si>
  <si>
    <t>slip_trip_hazard</t>
  </si>
  <si>
    <t>types_jaccard</t>
  </si>
  <si>
    <t>risk_targets_ds</t>
  </si>
  <si>
    <t>risk_targets_mixed</t>
  </si>
  <si>
    <t>anomaly_types_ds</t>
  </si>
  <si>
    <t>anomaly_types_mixed</t>
  </si>
  <si>
    <t>sample_id_ds</t>
  </si>
  <si>
    <t>sample_id_mixed</t>
  </si>
  <si>
    <t>1.png</t>
  </si>
  <si>
    <t>2.png</t>
  </si>
  <si>
    <t>3.png</t>
  </si>
  <si>
    <t>4.png</t>
  </si>
  <si>
    <t>5.png</t>
  </si>
  <si>
    <t>Original</t>
  </si>
  <si>
    <t>DS+blured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</si>
</sst>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b/>
      <sz val="11"/>
      <name val="Calibri"/>
    </font>
    <font>
      <b/>
      <sz val="11"/>
      <color theme="1"/>
      <name val="Calibri"/>
      <family val="2"/>
      <scheme val="minor"/>
    </font>
    <font>
      <sz val="8"/>
      <color rgb="FF0A0A0A"/>
      <name val="Courier New"/>
      <family val="3"/>
    </font>
    <font>
      <b/>
      <sz val="11"/>
      <name val="Calibri"/>
      <family val="2"/>
    </font>
    <font>
      <sz val="14"/>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2" fillId="0" borderId="0" xfId="0" applyFont="1"/>
    <xf numFmtId="2" fontId="0" fillId="0" borderId="0" xfId="0" applyNumberFormat="1"/>
    <xf numFmtId="164" fontId="0" fillId="0" borderId="0" xfId="0" applyNumberFormat="1"/>
    <xf numFmtId="0" fontId="3" fillId="0" borderId="0" xfId="0" applyFont="1"/>
    <xf numFmtId="0" fontId="4" fillId="0" borderId="1" xfId="0" applyFont="1" applyBorder="1" applyAlignment="1">
      <alignment horizontal="center" vertical="top"/>
    </xf>
    <xf numFmtId="0" fontId="0" fillId="0" borderId="1" xfId="0" applyBorder="1"/>
    <xf numFmtId="2" fontId="0" fillId="0" borderId="1" xfId="0" applyNumberFormat="1" applyBorder="1"/>
    <xf numFmtId="11" fontId="0" fillId="0" borderId="1" xfId="0" applyNumberFormat="1" applyBorder="1"/>
    <xf numFmtId="0" fontId="5" fillId="0" borderId="1" xfId="0" applyFont="1" applyBorder="1" applyAlignment="1">
      <alignment horizontal="center" vertical="center"/>
    </xf>
    <xf numFmtId="0" fontId="5" fillId="0" borderId="1"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ysClr val="windowText" lastClr="000000"/>
                </a:solidFill>
                <a:latin typeface="+mn-lt"/>
                <a:ea typeface="+mn-ea"/>
                <a:cs typeface="+mn-cs"/>
              </a:defRPr>
            </a:pPr>
            <a:r>
              <a:rPr lang="en-US"/>
              <a:t>Change in sevirity assesment with image downsampling and blurring</a:t>
            </a:r>
          </a:p>
        </c:rich>
      </c:tx>
      <c:layout>
        <c:manualLayout>
          <c:xMode val="edge"/>
          <c:yMode val="edge"/>
          <c:x val="0.20415611377739235"/>
          <c:y val="1.9361084220716359E-2"/>
        </c:manualLayout>
      </c:layout>
      <c:overlay val="0"/>
      <c:spPr>
        <a:noFill/>
        <a:ln>
          <a:noFill/>
        </a:ln>
        <a:effectLst/>
      </c:spPr>
      <c:txPr>
        <a:bodyPr rot="0" spcFirstLastPara="1" vertOverflow="ellipsis" vert="horz" wrap="square" anchor="ctr" anchorCtr="1"/>
        <a:lstStyle/>
        <a:p>
          <a:pPr>
            <a:defRPr sz="1680" b="0" i="0" u="none" strike="noStrike" kern="1200" spc="0" baseline="0">
              <a:solidFill>
                <a:sysClr val="windowText" lastClr="000000"/>
              </a:solidFill>
              <a:latin typeface="+mn-lt"/>
              <a:ea typeface="+mn-ea"/>
              <a:cs typeface="+mn-cs"/>
            </a:defRPr>
          </a:pPr>
          <a:endParaRPr lang="LID4096"/>
        </a:p>
      </c:txPr>
    </c:title>
    <c:autoTitleDeleted val="0"/>
    <c:plotArea>
      <c:layout/>
      <c:barChart>
        <c:barDir val="col"/>
        <c:grouping val="clustered"/>
        <c:varyColors val="0"/>
        <c:ser>
          <c:idx val="1"/>
          <c:order val="1"/>
          <c:tx>
            <c:strRef>
              <c:f>'Analysis-compare'!$W$114</c:f>
              <c:strCache>
                <c:ptCount val="1"/>
                <c:pt idx="0">
                  <c:v>% of sample Mixed group</c:v>
                </c:pt>
              </c:strCache>
            </c:strRef>
          </c:tx>
          <c:spPr>
            <a:solidFill>
              <a:schemeClr val="accent2"/>
            </a:solidFill>
            <a:ln>
              <a:noFill/>
            </a:ln>
            <a:effectLst/>
          </c:spPr>
          <c:invertIfNegative val="0"/>
          <c:cat>
            <c:strRef>
              <c:extLst>
                <c:ext xmlns:c15="http://schemas.microsoft.com/office/drawing/2012/chart" uri="{02D57815-91ED-43cb-92C2-25804820EDAC}">
                  <c15:fullRef>
                    <c15:sqref>'Analysis-compare'!$U$115:$U$126</c15:sqref>
                  </c15:fullRef>
                </c:ext>
              </c:extLst>
              <c:f>'Analysis-compare'!$U$116:$U$126</c:f>
              <c:strCache>
                <c:ptCount val="11"/>
                <c:pt idx="0">
                  <c:v>0</c:v>
                </c:pt>
                <c:pt idx="1">
                  <c:v>1</c:v>
                </c:pt>
                <c:pt idx="2">
                  <c:v>2</c:v>
                </c:pt>
                <c:pt idx="3">
                  <c:v>3</c:v>
                </c:pt>
                <c:pt idx="4">
                  <c:v>4</c:v>
                </c:pt>
                <c:pt idx="5">
                  <c:v>5</c:v>
                </c:pt>
                <c:pt idx="6">
                  <c:v>6</c:v>
                </c:pt>
                <c:pt idx="7">
                  <c:v>7</c:v>
                </c:pt>
                <c:pt idx="8">
                  <c:v>8</c:v>
                </c:pt>
                <c:pt idx="9">
                  <c:v>9</c:v>
                </c:pt>
                <c:pt idx="10">
                  <c:v>10</c:v>
                </c:pt>
              </c:strCache>
            </c:strRef>
          </c:cat>
          <c:val>
            <c:numRef>
              <c:extLst>
                <c:ext xmlns:c15="http://schemas.microsoft.com/office/drawing/2012/chart" uri="{02D57815-91ED-43cb-92C2-25804820EDAC}">
                  <c15:fullRef>
                    <c15:sqref>'Analysis-compare'!$W$115:$W$126</c15:sqref>
                  </c15:fullRef>
                </c:ext>
              </c:extLst>
              <c:f>'Analysis-compare'!$W$116:$W$126</c:f>
              <c:numCache>
                <c:formatCode>0.0</c:formatCode>
                <c:ptCount val="11"/>
                <c:pt idx="0">
                  <c:v>22.522522522522522</c:v>
                </c:pt>
                <c:pt idx="1">
                  <c:v>0</c:v>
                </c:pt>
                <c:pt idx="2">
                  <c:v>0</c:v>
                </c:pt>
                <c:pt idx="3">
                  <c:v>2.7027027027027026</c:v>
                </c:pt>
                <c:pt idx="4">
                  <c:v>9.0090090090090094</c:v>
                </c:pt>
                <c:pt idx="5">
                  <c:v>11.711711711711711</c:v>
                </c:pt>
                <c:pt idx="6">
                  <c:v>16.216216216216218</c:v>
                </c:pt>
                <c:pt idx="7">
                  <c:v>15.315315315315313</c:v>
                </c:pt>
                <c:pt idx="8">
                  <c:v>16.216216216216218</c:v>
                </c:pt>
                <c:pt idx="9">
                  <c:v>5.4054054054054053</c:v>
                </c:pt>
                <c:pt idx="10">
                  <c:v>0.90090090090090091</c:v>
                </c:pt>
              </c:numCache>
            </c:numRef>
          </c:val>
          <c:extLst>
            <c:ext xmlns:c16="http://schemas.microsoft.com/office/drawing/2014/chart" uri="{C3380CC4-5D6E-409C-BE32-E72D297353CC}">
              <c16:uniqueId val="{00000001-2E25-487C-9EDD-282000A73FB7}"/>
            </c:ext>
          </c:extLst>
        </c:ser>
        <c:ser>
          <c:idx val="3"/>
          <c:order val="3"/>
          <c:tx>
            <c:strRef>
              <c:f>'Analysis-compare'!$Y$114</c:f>
              <c:strCache>
                <c:ptCount val="1"/>
                <c:pt idx="0">
                  <c:v>% of sample Down-sampled blurred</c:v>
                </c:pt>
              </c:strCache>
            </c:strRef>
          </c:tx>
          <c:spPr>
            <a:solidFill>
              <a:schemeClr val="accent4"/>
            </a:solidFill>
            <a:ln>
              <a:noFill/>
            </a:ln>
            <a:effectLst/>
          </c:spPr>
          <c:invertIfNegative val="0"/>
          <c:cat>
            <c:strRef>
              <c:extLst>
                <c:ext xmlns:c15="http://schemas.microsoft.com/office/drawing/2012/chart" uri="{02D57815-91ED-43cb-92C2-25804820EDAC}">
                  <c15:fullRef>
                    <c15:sqref>'Analysis-compare'!$U$115:$U$126</c15:sqref>
                  </c15:fullRef>
                </c:ext>
              </c:extLst>
              <c:f>'Analysis-compare'!$U$116:$U$126</c:f>
              <c:strCache>
                <c:ptCount val="11"/>
                <c:pt idx="0">
                  <c:v>0</c:v>
                </c:pt>
                <c:pt idx="1">
                  <c:v>1</c:v>
                </c:pt>
                <c:pt idx="2">
                  <c:v>2</c:v>
                </c:pt>
                <c:pt idx="3">
                  <c:v>3</c:v>
                </c:pt>
                <c:pt idx="4">
                  <c:v>4</c:v>
                </c:pt>
                <c:pt idx="5">
                  <c:v>5</c:v>
                </c:pt>
                <c:pt idx="6">
                  <c:v>6</c:v>
                </c:pt>
                <c:pt idx="7">
                  <c:v>7</c:v>
                </c:pt>
                <c:pt idx="8">
                  <c:v>8</c:v>
                </c:pt>
                <c:pt idx="9">
                  <c:v>9</c:v>
                </c:pt>
                <c:pt idx="10">
                  <c:v>10</c:v>
                </c:pt>
              </c:strCache>
            </c:strRef>
          </c:cat>
          <c:val>
            <c:numRef>
              <c:extLst>
                <c:ext xmlns:c15="http://schemas.microsoft.com/office/drawing/2012/chart" uri="{02D57815-91ED-43cb-92C2-25804820EDAC}">
                  <c15:fullRef>
                    <c15:sqref>'Analysis-compare'!$Y$115:$Y$126</c15:sqref>
                  </c15:fullRef>
                </c:ext>
              </c:extLst>
              <c:f>'Analysis-compare'!$Y$116:$Y$126</c:f>
              <c:numCache>
                <c:formatCode>0.0</c:formatCode>
                <c:ptCount val="11"/>
                <c:pt idx="0">
                  <c:v>55.85585585585585</c:v>
                </c:pt>
                <c:pt idx="1">
                  <c:v>0</c:v>
                </c:pt>
                <c:pt idx="2">
                  <c:v>0</c:v>
                </c:pt>
                <c:pt idx="3">
                  <c:v>0.90090090090090091</c:v>
                </c:pt>
                <c:pt idx="4">
                  <c:v>7.2072072072072073</c:v>
                </c:pt>
                <c:pt idx="5">
                  <c:v>7.2072072072072073</c:v>
                </c:pt>
                <c:pt idx="6">
                  <c:v>12.612612612612612</c:v>
                </c:pt>
                <c:pt idx="7">
                  <c:v>10.810810810810811</c:v>
                </c:pt>
                <c:pt idx="8">
                  <c:v>4.5045045045045047</c:v>
                </c:pt>
                <c:pt idx="9">
                  <c:v>0.90090090090090091</c:v>
                </c:pt>
                <c:pt idx="10">
                  <c:v>0</c:v>
                </c:pt>
              </c:numCache>
            </c:numRef>
          </c:val>
          <c:extLst>
            <c:ext xmlns:c16="http://schemas.microsoft.com/office/drawing/2014/chart" uri="{C3380CC4-5D6E-409C-BE32-E72D297353CC}">
              <c16:uniqueId val="{00000003-2E25-487C-9EDD-282000A73FB7}"/>
            </c:ext>
          </c:extLst>
        </c:ser>
        <c:dLbls>
          <c:showLegendKey val="0"/>
          <c:showVal val="0"/>
          <c:showCatName val="0"/>
          <c:showSerName val="0"/>
          <c:showPercent val="0"/>
          <c:showBubbleSize val="0"/>
        </c:dLbls>
        <c:gapWidth val="219"/>
        <c:overlap val="-27"/>
        <c:axId val="1085712128"/>
        <c:axId val="1085720288"/>
        <c:extLst>
          <c:ext xmlns:c15="http://schemas.microsoft.com/office/drawing/2012/chart" uri="{02D57815-91ED-43cb-92C2-25804820EDAC}">
            <c15:filteredBarSeries>
              <c15:ser>
                <c:idx val="0"/>
                <c:order val="0"/>
                <c:tx>
                  <c:strRef>
                    <c:extLst>
                      <c:ext uri="{02D57815-91ED-43cb-92C2-25804820EDAC}">
                        <c15:formulaRef>
                          <c15:sqref>'Analysis-compare'!$V$114</c15:sqref>
                        </c15:formulaRef>
                      </c:ext>
                    </c:extLst>
                    <c:strCache>
                      <c:ptCount val="1"/>
                      <c:pt idx="0">
                        <c:v>Mixed</c:v>
                      </c:pt>
                    </c:strCache>
                  </c:strRef>
                </c:tx>
                <c:spPr>
                  <a:solidFill>
                    <a:schemeClr val="accent1"/>
                  </a:solidFill>
                  <a:ln>
                    <a:noFill/>
                  </a:ln>
                  <a:effectLst/>
                </c:spPr>
                <c:invertIfNegative val="0"/>
                <c:cat>
                  <c:strRef>
                    <c:extLst>
                      <c:ext uri="{02D57815-91ED-43cb-92C2-25804820EDAC}">
                        <c15:fullRef>
                          <c15:sqref>'Analysis-compare'!$U$115:$U$126</c15:sqref>
                        </c15:fullRef>
                        <c15:formulaRef>
                          <c15:sqref>'Analysis-compare'!$U$116:$U$126</c15:sqref>
                        </c15:formulaRef>
                      </c:ext>
                    </c:extLst>
                    <c:strCache>
                      <c:ptCount val="11"/>
                      <c:pt idx="0">
                        <c:v>0</c:v>
                      </c:pt>
                      <c:pt idx="1">
                        <c:v>1</c:v>
                      </c:pt>
                      <c:pt idx="2">
                        <c:v>2</c:v>
                      </c:pt>
                      <c:pt idx="3">
                        <c:v>3</c:v>
                      </c:pt>
                      <c:pt idx="4">
                        <c:v>4</c:v>
                      </c:pt>
                      <c:pt idx="5">
                        <c:v>5</c:v>
                      </c:pt>
                      <c:pt idx="6">
                        <c:v>6</c:v>
                      </c:pt>
                      <c:pt idx="7">
                        <c:v>7</c:v>
                      </c:pt>
                      <c:pt idx="8">
                        <c:v>8</c:v>
                      </c:pt>
                      <c:pt idx="9">
                        <c:v>9</c:v>
                      </c:pt>
                      <c:pt idx="10">
                        <c:v>10</c:v>
                      </c:pt>
                    </c:strCache>
                  </c:strRef>
                </c:cat>
                <c:val>
                  <c:numRef>
                    <c:extLst>
                      <c:ext uri="{02D57815-91ED-43cb-92C2-25804820EDAC}">
                        <c15:fullRef>
                          <c15:sqref>'Analysis-compare'!$V$115:$V$126</c15:sqref>
                        </c15:fullRef>
                        <c15:formulaRef>
                          <c15:sqref>'Analysis-compare'!$V$116:$V$126</c15:sqref>
                        </c15:formulaRef>
                      </c:ext>
                    </c:extLst>
                    <c:numCache>
                      <c:formatCode>General</c:formatCode>
                      <c:ptCount val="11"/>
                      <c:pt idx="0">
                        <c:v>25</c:v>
                      </c:pt>
                      <c:pt idx="1">
                        <c:v>0</c:v>
                      </c:pt>
                      <c:pt idx="2">
                        <c:v>0</c:v>
                      </c:pt>
                      <c:pt idx="3">
                        <c:v>3</c:v>
                      </c:pt>
                      <c:pt idx="4">
                        <c:v>10</c:v>
                      </c:pt>
                      <c:pt idx="5">
                        <c:v>13</c:v>
                      </c:pt>
                      <c:pt idx="6">
                        <c:v>18</c:v>
                      </c:pt>
                      <c:pt idx="7">
                        <c:v>17</c:v>
                      </c:pt>
                      <c:pt idx="8">
                        <c:v>18</c:v>
                      </c:pt>
                      <c:pt idx="9">
                        <c:v>6</c:v>
                      </c:pt>
                      <c:pt idx="10">
                        <c:v>1</c:v>
                      </c:pt>
                    </c:numCache>
                  </c:numRef>
                </c:val>
                <c:extLst>
                  <c:ext xmlns:c16="http://schemas.microsoft.com/office/drawing/2014/chart" uri="{C3380CC4-5D6E-409C-BE32-E72D297353CC}">
                    <c16:uniqueId val="{00000000-2E25-487C-9EDD-282000A73FB7}"/>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'Analysis-compare'!$X$114</c15:sqref>
                        </c15:formulaRef>
                      </c:ext>
                    </c:extLst>
                    <c:strCache>
                      <c:ptCount val="1"/>
                      <c:pt idx="0">
                        <c:v>DSB</c:v>
                      </c:pt>
                    </c:strCache>
                  </c:strRef>
                </c:tx>
                <c:spPr>
                  <a:solidFill>
                    <a:schemeClr val="accent3"/>
                  </a:solidFill>
                  <a:ln>
                    <a:noFill/>
                  </a:ln>
                  <a:effectLst/>
                </c:spPr>
                <c:invertIfNegative val="0"/>
                <c:cat>
                  <c:strRef>
                    <c:extLst>
                      <c:ext xmlns:c15="http://schemas.microsoft.com/office/drawing/2012/chart" uri="{02D57815-91ED-43cb-92C2-25804820EDAC}">
                        <c15:fullRef>
                          <c15:sqref>'Analysis-compare'!$U$115:$U$126</c15:sqref>
                        </c15:fullRef>
                        <c15:formulaRef>
                          <c15:sqref>'Analysis-compare'!$U$116:$U$126</c15:sqref>
                        </c15:formulaRef>
                      </c:ext>
                    </c:extLst>
                    <c:strCache>
                      <c:ptCount val="11"/>
                      <c:pt idx="0">
                        <c:v>0</c:v>
                      </c:pt>
                      <c:pt idx="1">
                        <c:v>1</c:v>
                      </c:pt>
                      <c:pt idx="2">
                        <c:v>2</c:v>
                      </c:pt>
                      <c:pt idx="3">
                        <c:v>3</c:v>
                      </c:pt>
                      <c:pt idx="4">
                        <c:v>4</c:v>
                      </c:pt>
                      <c:pt idx="5">
                        <c:v>5</c:v>
                      </c:pt>
                      <c:pt idx="6">
                        <c:v>6</c:v>
                      </c:pt>
                      <c:pt idx="7">
                        <c:v>7</c:v>
                      </c:pt>
                      <c:pt idx="8">
                        <c:v>8</c:v>
                      </c:pt>
                      <c:pt idx="9">
                        <c:v>9</c:v>
                      </c:pt>
                      <c:pt idx="10">
                        <c:v>10</c:v>
                      </c:pt>
                    </c:strCache>
                  </c:strRef>
                </c:cat>
                <c:val>
                  <c:numRef>
                    <c:extLst>
                      <c:ext xmlns:c15="http://schemas.microsoft.com/office/drawing/2012/chart" uri="{02D57815-91ED-43cb-92C2-25804820EDAC}">
                        <c15:fullRef>
                          <c15:sqref>'Analysis-compare'!$X$115:$X$126</c15:sqref>
                        </c15:fullRef>
                        <c15:formulaRef>
                          <c15:sqref>'Analysis-compare'!$X$116:$X$126</c15:sqref>
                        </c15:formulaRef>
                      </c:ext>
                    </c:extLst>
                    <c:numCache>
                      <c:formatCode>General</c:formatCode>
                      <c:ptCount val="11"/>
                      <c:pt idx="0">
                        <c:v>62</c:v>
                      </c:pt>
                      <c:pt idx="1">
                        <c:v>0</c:v>
                      </c:pt>
                      <c:pt idx="2">
                        <c:v>0</c:v>
                      </c:pt>
                      <c:pt idx="3">
                        <c:v>1</c:v>
                      </c:pt>
                      <c:pt idx="4">
                        <c:v>8</c:v>
                      </c:pt>
                      <c:pt idx="5">
                        <c:v>8</c:v>
                      </c:pt>
                      <c:pt idx="6">
                        <c:v>14</c:v>
                      </c:pt>
                      <c:pt idx="7">
                        <c:v>12</c:v>
                      </c:pt>
                      <c:pt idx="8">
                        <c:v>5</c:v>
                      </c:pt>
                      <c:pt idx="9">
                        <c:v>1</c:v>
                      </c:pt>
                      <c:pt idx="10">
                        <c:v>0</c:v>
                      </c:pt>
                    </c:numCache>
                  </c:numRef>
                </c:val>
                <c:extLst xmlns:c15="http://schemas.microsoft.com/office/drawing/2012/chart">
                  <c:ext xmlns:c16="http://schemas.microsoft.com/office/drawing/2014/chart" uri="{C3380CC4-5D6E-409C-BE32-E72D297353CC}">
                    <c16:uniqueId val="{00000002-2E25-487C-9EDD-282000A73FB7}"/>
                  </c:ext>
                </c:extLst>
              </c15:ser>
            </c15:filteredBarSeries>
          </c:ext>
        </c:extLst>
      </c:barChart>
      <c:catAx>
        <c:axId val="1085712128"/>
        <c:scaling>
          <c:orientation val="minMax"/>
        </c:scaling>
        <c:delete val="0"/>
        <c:axPos val="b"/>
        <c:title>
          <c:tx>
            <c:rich>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r>
                  <a:rPr lang="en-US"/>
                  <a:t>Anomaly sevirity score</a:t>
                </a:r>
              </a:p>
            </c:rich>
          </c:tx>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LID4096"/>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LID4096"/>
          </a:p>
        </c:txPr>
        <c:crossAx val="1085720288"/>
        <c:crosses val="autoZero"/>
        <c:auto val="1"/>
        <c:lblAlgn val="ctr"/>
        <c:lblOffset val="100"/>
        <c:noMultiLvlLbl val="0"/>
      </c:catAx>
      <c:valAx>
        <c:axId val="10857202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r>
                  <a:rPr lang="en-US"/>
                  <a:t>Change in %</a:t>
                </a:r>
              </a:p>
            </c:rich>
          </c:tx>
          <c:overlay val="0"/>
          <c:spPr>
            <a:noFill/>
            <a:ln>
              <a:noFill/>
            </a:ln>
            <a:effectLst/>
          </c:spPr>
          <c:txPr>
            <a:bodyPr rot="-54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LID4096"/>
          </a:p>
        </c:txPr>
        <c:crossAx val="1085712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solidFill>
            <a:sysClr val="windowText" lastClr="000000"/>
          </a:solidFill>
        </a:defRPr>
      </a:pPr>
      <a:endParaRPr lang="LID4096"/>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strDim>
      <cx:numDim type="val">
        <cx:f>_xlchart.v5.2</cx:f>
      </cx:numDim>
    </cx:data>
  </cx:chartData>
  <cx:chart>
    <cx:title pos="t" align="ctr" overlay="0">
      <cx:tx>
        <cx:txData>
          <cx:v>Change in sample-score distribution after down-sampling and blurring of images</cx:v>
        </cx:txData>
      </cx:tx>
      <cx:txPr>
        <a:bodyPr spcFirstLastPara="1" vertOverflow="ellipsis" horzOverflow="overflow" wrap="square" lIns="0" tIns="0" rIns="0" bIns="0" anchor="ctr" anchorCtr="1"/>
        <a:lstStyle/>
        <a:p>
          <a:pPr algn="ctr" rtl="0">
            <a:defRPr sz="1400">
              <a:solidFill>
                <a:sysClr val="windowText" lastClr="000000"/>
              </a:solidFill>
            </a:defRPr>
          </a:pPr>
          <a:r>
            <a:rPr lang="en-US" sz="1600" b="0" i="0" u="none" strike="noStrike" baseline="0">
              <a:solidFill>
                <a:sysClr val="windowText" lastClr="000000"/>
              </a:solidFill>
              <a:latin typeface="Calibri"/>
            </a:rPr>
            <a:t>Change in sample-score distribution after down-sampling and blurring of images</a:t>
          </a:r>
        </a:p>
      </cx:txPr>
    </cx:title>
    <cx:plotArea>
      <cx:plotAreaRegion>
        <cx:series layoutId="waterfall" uniqueId="{9DEA9E6B-9690-44AF-8980-064C1D50A67F}">
          <cx:tx>
            <cx:txData>
              <cx:f>_xlchart.v5.1</cx:f>
              <cx:v>Delta % from Mixed to DSB</cx:v>
            </cx:txData>
          </cx:tx>
          <cx:dataLabels pos="outEnd">
            <cx:txPr>
              <a:bodyPr vertOverflow="overflow" horzOverflow="overflow" wrap="square" lIns="0" tIns="0" rIns="0" bIns="0"/>
              <a:lstStyle/>
              <a:p>
                <a:pPr algn="ctr" rtl="0">
                  <a:defRPr sz="14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LID4096" sz="1400">
                  <a:solidFill>
                    <a:sysClr val="windowText" lastClr="000000"/>
                  </a:solidFill>
                </a:endParaRPr>
              </a:p>
            </cx:txPr>
            <cx:visibility seriesName="0" categoryName="0" value="1"/>
          </cx:dataLabels>
          <cx:dataId val="0"/>
          <cx:layoutPr>
            <cx:subtotals/>
          </cx:layoutPr>
        </cx:series>
      </cx:plotAreaRegion>
      <cx:axis id="0">
        <cx:catScaling gapWidth="0.5"/>
        <cx:tickLabels/>
        <cx:txPr>
          <a:bodyPr vertOverflow="overflow" horzOverflow="overflow" wrap="square" lIns="0" tIns="0" rIns="0" bIns="0"/>
          <a:lstStyle/>
          <a:p>
            <a:pPr algn="ctr" rtl="0">
              <a:defRPr sz="14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LID4096" sz="1400">
              <a:solidFill>
                <a:sysClr val="windowText" lastClr="000000"/>
              </a:solidFill>
            </a:endParaRPr>
          </a:p>
        </cx:txPr>
      </cx:axis>
      <cx:axis id="1">
        <cx:valScaling/>
        <cx:majorGridlines/>
        <cx:tickLabels/>
        <cx:txPr>
          <a:bodyPr vertOverflow="overflow" horzOverflow="overflow" wrap="square" lIns="0" tIns="0" rIns="0" bIns="0"/>
          <a:lstStyle/>
          <a:p>
            <a:pPr algn="ctr" rtl="0">
              <a:defRPr sz="14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LID4096" sz="1400">
              <a:solidFill>
                <a:sysClr val="windowText" lastClr="000000"/>
              </a:solidFill>
            </a:endParaRPr>
          </a:p>
        </cx:txPr>
      </cx:axis>
    </cx:plotArea>
    <cx:legend pos="t" align="ctr" overlay="0">
      <cx:txPr>
        <a:bodyPr spcFirstLastPara="1" vertOverflow="ellipsis" horzOverflow="overflow" wrap="square" lIns="0" tIns="0" rIns="0" bIns="0" anchor="ctr" anchorCtr="1"/>
        <a:lstStyle/>
        <a:p>
          <a:pPr algn="ctr" rtl="0">
            <a:defRPr sz="1400">
              <a:solidFill>
                <a:sysClr val="windowText" lastClr="000000"/>
              </a:solidFill>
            </a:defRPr>
          </a:pPr>
          <a:endParaRPr lang="en-US" sz="1400" b="0" i="0" u="none" strike="noStrike" baseline="0">
            <a:solidFill>
              <a:sysClr val="windowText" lastClr="000000"/>
            </a:solidFill>
            <a:latin typeface="Calibri"/>
          </a:endParaRPr>
        </a:p>
      </cx:txPr>
    </cx:legend>
  </cx:chart>
  <cx:fmtOvrs>
    <cx:fmtOvr idx="2">
      <cx:spPr>
        <a:solidFill>
          <a:schemeClr val="bg1"/>
        </a:solidFill>
      </cx:spPr>
    </cx:fmtOvr>
  </cx:fmtOvr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16</xdr:col>
      <xdr:colOff>662043</xdr:colOff>
      <xdr:row>128</xdr:row>
      <xdr:rowOff>55806</xdr:rowOff>
    </xdr:from>
    <xdr:to>
      <xdr:col>26</xdr:col>
      <xdr:colOff>335728</xdr:colOff>
      <xdr:row>149</xdr:row>
      <xdr:rowOff>151055</xdr:rowOff>
    </xdr:to>
    <xdr:graphicFrame macro="">
      <xdr:nvGraphicFramePr>
        <xdr:cNvPr id="2" name="Chart 1">
          <a:extLst>
            <a:ext uri="{FF2B5EF4-FFF2-40B4-BE49-F238E27FC236}">
              <a16:creationId xmlns:a16="http://schemas.microsoft.com/office/drawing/2014/main" id="{E6A9AA88-1EBA-187F-4BCF-A9CBE2BBEB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153745</xdr:colOff>
      <xdr:row>107</xdr:row>
      <xdr:rowOff>70597</xdr:rowOff>
    </xdr:from>
    <xdr:to>
      <xdr:col>36</xdr:col>
      <xdr:colOff>146125</xdr:colOff>
      <xdr:row>127</xdr:row>
      <xdr:rowOff>82027</xdr:rowOff>
    </xdr:to>
    <xdr:grpSp>
      <xdr:nvGrpSpPr>
        <xdr:cNvPr id="6" name="Group 5">
          <a:extLst>
            <a:ext uri="{FF2B5EF4-FFF2-40B4-BE49-F238E27FC236}">
              <a16:creationId xmlns:a16="http://schemas.microsoft.com/office/drawing/2014/main" id="{30AED2DF-6349-5D0F-3ED0-A9F7E8D64136}"/>
            </a:ext>
          </a:extLst>
        </xdr:cNvPr>
        <xdr:cNvGrpSpPr/>
      </xdr:nvGrpSpPr>
      <xdr:grpSpPr>
        <a:xfrm>
          <a:off x="15931627" y="19255068"/>
          <a:ext cx="5478780" cy="3597312"/>
          <a:chOff x="15972865" y="19637506"/>
          <a:chExt cx="5478780" cy="3669030"/>
        </a:xfrm>
      </xdr:grpSpPr>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7CF55CDD-25B7-F66C-FFCF-F3AB761503FF}"/>
                  </a:ext>
                </a:extLst>
              </xdr:cNvPr>
              <xdr:cNvGraphicFramePr/>
            </xdr:nvGraphicFramePr>
            <xdr:xfrm>
              <a:off x="15972865" y="19637506"/>
              <a:ext cx="5478780" cy="366903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5972865" y="19637506"/>
                <a:ext cx="5478780" cy="3669030"/>
              </a:xfrm>
              <a:prstGeom prst="rect">
                <a:avLst/>
              </a:prstGeom>
              <a:solidFill>
                <a:prstClr val="white"/>
              </a:solidFill>
              <a:ln w="1">
                <a:solidFill>
                  <a:prstClr val="green"/>
                </a:solidFill>
              </a:ln>
            </xdr:spPr>
            <xdr:txBody>
              <a:bodyPr vertOverflow="clip" horzOverflow="clip"/>
              <a:lstStyle/>
              <a:p>
                <a:r>
                  <a:rPr lang="LID4096" sz="1100"/>
                  <a:t>This chart isn't available in your version of Excel.
Editing this shape or saving this workbook into a different file format will permanently break the chart.</a:t>
                </a:r>
              </a:p>
            </xdr:txBody>
          </xdr:sp>
        </mc:Fallback>
      </mc:AlternateContent>
      <xdr:sp macro="" textlink="">
        <xdr:nvSpPr>
          <xdr:cNvPr id="4" name="Rectangle 3">
            <a:extLst>
              <a:ext uri="{FF2B5EF4-FFF2-40B4-BE49-F238E27FC236}">
                <a16:creationId xmlns:a16="http://schemas.microsoft.com/office/drawing/2014/main" id="{B339B877-8E14-2787-B113-C4A4E685A1E8}"/>
              </a:ext>
            </a:extLst>
          </xdr:cNvPr>
          <xdr:cNvSpPr/>
        </xdr:nvSpPr>
        <xdr:spPr>
          <a:xfrm>
            <a:off x="19461480" y="20307300"/>
            <a:ext cx="480060" cy="31242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2"/>
  <sheetViews>
    <sheetView workbookViewId="0">
      <selection activeCell="A2" sqref="A2:B6"/>
    </sheetView>
  </sheetViews>
  <sheetFormatPr defaultRowHeight="14.4" x14ac:dyDescent="0.3"/>
  <cols>
    <col min="1" max="1" width="16.5546875" bestFit="1" customWidth="1"/>
    <col min="2" max="2" width="173.44140625" bestFit="1" customWidth="1"/>
    <col min="4" max="4" width="121.21875" customWidth="1"/>
  </cols>
  <sheetData>
    <row r="1" spans="1:6" x14ac:dyDescent="0.3">
      <c r="A1" s="1" t="s">
        <v>0</v>
      </c>
      <c r="B1" s="1" t="s">
        <v>1</v>
      </c>
      <c r="C1" s="1" t="s">
        <v>2</v>
      </c>
      <c r="D1" s="1" t="s">
        <v>3</v>
      </c>
      <c r="E1" s="1" t="s">
        <v>4</v>
      </c>
      <c r="F1" s="1" t="s">
        <v>5</v>
      </c>
    </row>
    <row r="2" spans="1:6" x14ac:dyDescent="0.3">
      <c r="A2" t="s">
        <v>422</v>
      </c>
      <c r="B2" t="s">
        <v>423</v>
      </c>
      <c r="C2" t="s">
        <v>424</v>
      </c>
      <c r="D2" t="s">
        <v>425</v>
      </c>
      <c r="E2">
        <v>6</v>
      </c>
      <c r="F2" t="s">
        <v>426</v>
      </c>
    </row>
    <row r="3" spans="1:6" x14ac:dyDescent="0.3">
      <c r="A3" t="s">
        <v>363</v>
      </c>
      <c r="B3" t="s">
        <v>364</v>
      </c>
      <c r="C3" t="s">
        <v>365</v>
      </c>
      <c r="D3" t="s">
        <v>366</v>
      </c>
      <c r="E3">
        <v>4</v>
      </c>
      <c r="F3" t="s">
        <v>367</v>
      </c>
    </row>
    <row r="4" spans="1:6" x14ac:dyDescent="0.3">
      <c r="A4" t="s">
        <v>516</v>
      </c>
      <c r="B4" t="s">
        <v>517</v>
      </c>
      <c r="C4" t="s">
        <v>518</v>
      </c>
      <c r="D4" t="s">
        <v>519</v>
      </c>
      <c r="E4">
        <v>6</v>
      </c>
      <c r="F4" t="s">
        <v>520</v>
      </c>
    </row>
    <row r="5" spans="1:6" x14ac:dyDescent="0.3">
      <c r="A5" t="s">
        <v>298</v>
      </c>
      <c r="B5" t="s">
        <v>299</v>
      </c>
      <c r="C5" t="s">
        <v>300</v>
      </c>
      <c r="D5" t="s">
        <v>25</v>
      </c>
      <c r="E5">
        <v>0</v>
      </c>
      <c r="F5" t="s">
        <v>301</v>
      </c>
    </row>
    <row r="6" spans="1:6" x14ac:dyDescent="0.3">
      <c r="A6" t="s">
        <v>98</v>
      </c>
      <c r="B6" t="s">
        <v>99</v>
      </c>
      <c r="C6" t="s">
        <v>100</v>
      </c>
      <c r="D6" t="s">
        <v>25</v>
      </c>
      <c r="E6">
        <v>0</v>
      </c>
      <c r="F6" t="s">
        <v>101</v>
      </c>
    </row>
    <row r="7" spans="1:6" x14ac:dyDescent="0.3">
      <c r="A7" t="s">
        <v>348</v>
      </c>
      <c r="B7" t="s">
        <v>349</v>
      </c>
      <c r="C7" t="s">
        <v>350</v>
      </c>
      <c r="D7" t="s">
        <v>351</v>
      </c>
      <c r="E7">
        <v>5</v>
      </c>
      <c r="F7" t="s">
        <v>352</v>
      </c>
    </row>
    <row r="8" spans="1:6" x14ac:dyDescent="0.3">
      <c r="A8" t="s">
        <v>122</v>
      </c>
      <c r="B8" t="s">
        <v>123</v>
      </c>
      <c r="C8" t="s">
        <v>124</v>
      </c>
      <c r="D8" t="s">
        <v>125</v>
      </c>
      <c r="E8">
        <v>6</v>
      </c>
      <c r="F8" t="s">
        <v>126</v>
      </c>
    </row>
    <row r="9" spans="1:6" x14ac:dyDescent="0.3">
      <c r="A9" t="s">
        <v>31</v>
      </c>
      <c r="B9" t="s">
        <v>32</v>
      </c>
      <c r="C9" t="s">
        <v>33</v>
      </c>
      <c r="D9" t="s">
        <v>34</v>
      </c>
      <c r="E9">
        <v>5</v>
      </c>
      <c r="F9" t="s">
        <v>35</v>
      </c>
    </row>
    <row r="10" spans="1:6" x14ac:dyDescent="0.3">
      <c r="A10" t="s">
        <v>293</v>
      </c>
      <c r="B10" t="s">
        <v>294</v>
      </c>
      <c r="C10" t="s">
        <v>295</v>
      </c>
      <c r="D10" t="s">
        <v>296</v>
      </c>
      <c r="E10">
        <v>6</v>
      </c>
      <c r="F10" t="s">
        <v>297</v>
      </c>
    </row>
    <row r="11" spans="1:6" x14ac:dyDescent="0.3">
      <c r="A11" t="s">
        <v>511</v>
      </c>
      <c r="B11" t="s">
        <v>512</v>
      </c>
      <c r="C11" t="s">
        <v>513</v>
      </c>
      <c r="D11" t="s">
        <v>514</v>
      </c>
      <c r="E11">
        <v>6</v>
      </c>
      <c r="F11" t="s">
        <v>515</v>
      </c>
    </row>
    <row r="12" spans="1:6" x14ac:dyDescent="0.3">
      <c r="A12" t="s">
        <v>338</v>
      </c>
      <c r="B12" t="s">
        <v>339</v>
      </c>
      <c r="C12" t="s">
        <v>340</v>
      </c>
      <c r="D12" t="s">
        <v>341</v>
      </c>
      <c r="E12">
        <v>7</v>
      </c>
      <c r="F12" t="s">
        <v>342</v>
      </c>
    </row>
    <row r="13" spans="1:6" x14ac:dyDescent="0.3">
      <c r="A13" t="s">
        <v>463</v>
      </c>
      <c r="B13" t="s">
        <v>464</v>
      </c>
      <c r="C13" t="s">
        <v>465</v>
      </c>
      <c r="D13" t="s">
        <v>466</v>
      </c>
      <c r="E13">
        <v>9</v>
      </c>
      <c r="F13" t="s">
        <v>467</v>
      </c>
    </row>
    <row r="14" spans="1:6" x14ac:dyDescent="0.3">
      <c r="A14" t="s">
        <v>343</v>
      </c>
      <c r="B14" t="s">
        <v>344</v>
      </c>
      <c r="C14" t="s">
        <v>345</v>
      </c>
      <c r="D14" t="s">
        <v>346</v>
      </c>
      <c r="E14">
        <v>8</v>
      </c>
      <c r="F14" t="s">
        <v>347</v>
      </c>
    </row>
    <row r="15" spans="1:6" x14ac:dyDescent="0.3">
      <c r="A15" t="s">
        <v>152</v>
      </c>
      <c r="B15" t="s">
        <v>153</v>
      </c>
      <c r="C15" t="s">
        <v>154</v>
      </c>
      <c r="D15" t="s">
        <v>155</v>
      </c>
      <c r="E15">
        <v>8</v>
      </c>
      <c r="F15" t="s">
        <v>156</v>
      </c>
    </row>
    <row r="16" spans="1:6" x14ac:dyDescent="0.3">
      <c r="A16" t="s">
        <v>320</v>
      </c>
      <c r="B16" t="s">
        <v>321</v>
      </c>
      <c r="C16" t="s">
        <v>322</v>
      </c>
      <c r="D16" t="s">
        <v>323</v>
      </c>
      <c r="E16">
        <v>8</v>
      </c>
      <c r="F16" t="s">
        <v>324</v>
      </c>
    </row>
    <row r="17" spans="1:6" x14ac:dyDescent="0.3">
      <c r="A17" t="s">
        <v>358</v>
      </c>
      <c r="B17" t="s">
        <v>359</v>
      </c>
      <c r="C17" t="s">
        <v>360</v>
      </c>
      <c r="D17" t="s">
        <v>361</v>
      </c>
      <c r="E17">
        <v>8</v>
      </c>
      <c r="F17" t="s">
        <v>362</v>
      </c>
    </row>
    <row r="18" spans="1:6" x14ac:dyDescent="0.3">
      <c r="A18" t="s">
        <v>147</v>
      </c>
      <c r="B18" t="s">
        <v>148</v>
      </c>
      <c r="C18" t="s">
        <v>149</v>
      </c>
      <c r="D18" t="s">
        <v>150</v>
      </c>
      <c r="E18">
        <v>8</v>
      </c>
      <c r="F18" t="s">
        <v>151</v>
      </c>
    </row>
    <row r="19" spans="1:6" x14ac:dyDescent="0.3">
      <c r="A19" t="s">
        <v>248</v>
      </c>
      <c r="B19" t="s">
        <v>249</v>
      </c>
      <c r="C19" t="s">
        <v>250</v>
      </c>
      <c r="D19" t="s">
        <v>251</v>
      </c>
      <c r="E19">
        <v>7</v>
      </c>
      <c r="F19" t="s">
        <v>252</v>
      </c>
    </row>
    <row r="20" spans="1:6" x14ac:dyDescent="0.3">
      <c r="A20" t="s">
        <v>387</v>
      </c>
      <c r="B20" t="s">
        <v>388</v>
      </c>
      <c r="C20" t="s">
        <v>389</v>
      </c>
      <c r="D20" t="s">
        <v>390</v>
      </c>
      <c r="E20">
        <v>8</v>
      </c>
      <c r="F20" t="s">
        <v>391</v>
      </c>
    </row>
    <row r="21" spans="1:6" x14ac:dyDescent="0.3">
      <c r="A21" t="s">
        <v>468</v>
      </c>
      <c r="B21" t="s">
        <v>469</v>
      </c>
      <c r="C21" t="s">
        <v>470</v>
      </c>
      <c r="D21" t="s">
        <v>471</v>
      </c>
      <c r="E21">
        <v>6</v>
      </c>
      <c r="F21" t="s">
        <v>472</v>
      </c>
    </row>
    <row r="22" spans="1:6" x14ac:dyDescent="0.3">
      <c r="A22" t="s">
        <v>93</v>
      </c>
      <c r="B22" t="s">
        <v>94</v>
      </c>
      <c r="C22" t="s">
        <v>95</v>
      </c>
      <c r="D22" t="s">
        <v>96</v>
      </c>
      <c r="E22">
        <v>8</v>
      </c>
      <c r="F22" t="s">
        <v>97</v>
      </c>
    </row>
    <row r="23" spans="1:6" x14ac:dyDescent="0.3">
      <c r="A23" t="s">
        <v>112</v>
      </c>
      <c r="B23" t="s">
        <v>113</v>
      </c>
      <c r="C23" t="s">
        <v>114</v>
      </c>
      <c r="D23" t="s">
        <v>115</v>
      </c>
      <c r="E23">
        <v>9</v>
      </c>
      <c r="F23" t="s">
        <v>116</v>
      </c>
    </row>
    <row r="24" spans="1:6" x14ac:dyDescent="0.3">
      <c r="A24" t="s">
        <v>166</v>
      </c>
      <c r="B24" t="s">
        <v>167</v>
      </c>
      <c r="C24" t="s">
        <v>168</v>
      </c>
      <c r="D24" t="s">
        <v>169</v>
      </c>
      <c r="E24">
        <v>8</v>
      </c>
      <c r="F24" t="s">
        <v>170</v>
      </c>
    </row>
    <row r="25" spans="1:6" x14ac:dyDescent="0.3">
      <c r="A25" t="s">
        <v>171</v>
      </c>
      <c r="B25" t="s">
        <v>172</v>
      </c>
      <c r="C25" t="s">
        <v>173</v>
      </c>
      <c r="D25" t="s">
        <v>174</v>
      </c>
      <c r="E25">
        <v>8</v>
      </c>
      <c r="F25" t="s">
        <v>175</v>
      </c>
    </row>
    <row r="26" spans="1:6" x14ac:dyDescent="0.3">
      <c r="A26" t="s">
        <v>102</v>
      </c>
      <c r="B26" t="s">
        <v>103</v>
      </c>
      <c r="C26" t="s">
        <v>104</v>
      </c>
      <c r="D26" t="s">
        <v>105</v>
      </c>
      <c r="E26">
        <v>7</v>
      </c>
      <c r="F26" t="s">
        <v>106</v>
      </c>
    </row>
    <row r="27" spans="1:6" x14ac:dyDescent="0.3">
      <c r="A27" t="s">
        <v>427</v>
      </c>
      <c r="B27" t="s">
        <v>428</v>
      </c>
      <c r="C27" t="s">
        <v>429</v>
      </c>
      <c r="D27" t="s">
        <v>430</v>
      </c>
      <c r="E27">
        <v>7</v>
      </c>
      <c r="F27" t="s">
        <v>431</v>
      </c>
    </row>
    <row r="28" spans="1:6" x14ac:dyDescent="0.3">
      <c r="A28" t="s">
        <v>397</v>
      </c>
      <c r="B28" t="s">
        <v>398</v>
      </c>
      <c r="C28" t="s">
        <v>399</v>
      </c>
      <c r="D28" t="s">
        <v>400</v>
      </c>
      <c r="E28">
        <v>7</v>
      </c>
      <c r="F28" t="s">
        <v>401</v>
      </c>
    </row>
    <row r="29" spans="1:6" x14ac:dyDescent="0.3">
      <c r="A29" t="s">
        <v>209</v>
      </c>
      <c r="B29" t="s">
        <v>210</v>
      </c>
      <c r="C29" t="s">
        <v>211</v>
      </c>
      <c r="D29" t="s">
        <v>212</v>
      </c>
      <c r="E29">
        <v>7</v>
      </c>
      <c r="F29" t="s">
        <v>213</v>
      </c>
    </row>
    <row r="30" spans="1:6" x14ac:dyDescent="0.3">
      <c r="A30" t="s">
        <v>268</v>
      </c>
      <c r="B30" t="s">
        <v>269</v>
      </c>
      <c r="C30" t="s">
        <v>270</v>
      </c>
      <c r="D30" t="s">
        <v>271</v>
      </c>
      <c r="E30">
        <v>5</v>
      </c>
      <c r="F30" t="s">
        <v>272</v>
      </c>
    </row>
    <row r="31" spans="1:6" x14ac:dyDescent="0.3">
      <c r="A31" t="s">
        <v>378</v>
      </c>
      <c r="B31" t="s">
        <v>379</v>
      </c>
      <c r="C31" t="s">
        <v>380</v>
      </c>
      <c r="D31" t="s">
        <v>381</v>
      </c>
      <c r="E31">
        <v>8</v>
      </c>
      <c r="F31" t="s">
        <v>382</v>
      </c>
    </row>
    <row r="32" spans="1:6" x14ac:dyDescent="0.3">
      <c r="A32" t="s">
        <v>41</v>
      </c>
      <c r="B32" t="s">
        <v>42</v>
      </c>
      <c r="C32" t="s">
        <v>43</v>
      </c>
      <c r="D32" t="s">
        <v>44</v>
      </c>
      <c r="E32">
        <v>6</v>
      </c>
      <c r="F32" t="s">
        <v>45</v>
      </c>
    </row>
    <row r="33" spans="1:6" x14ac:dyDescent="0.3">
      <c r="A33" t="s">
        <v>186</v>
      </c>
      <c r="B33" t="s">
        <v>187</v>
      </c>
      <c r="C33" t="s">
        <v>188</v>
      </c>
      <c r="D33" t="s">
        <v>189</v>
      </c>
      <c r="E33">
        <v>6</v>
      </c>
      <c r="F33" t="s">
        <v>190</v>
      </c>
    </row>
    <row r="34" spans="1:6" x14ac:dyDescent="0.3">
      <c r="A34" t="s">
        <v>273</v>
      </c>
      <c r="B34" t="s">
        <v>274</v>
      </c>
      <c r="C34" t="s">
        <v>275</v>
      </c>
      <c r="D34" t="s">
        <v>276</v>
      </c>
      <c r="E34">
        <v>7</v>
      </c>
      <c r="F34" t="s">
        <v>277</v>
      </c>
    </row>
    <row r="35" spans="1:6" x14ac:dyDescent="0.3">
      <c r="A35" t="s">
        <v>243</v>
      </c>
      <c r="B35" t="s">
        <v>244</v>
      </c>
      <c r="C35" t="s">
        <v>245</v>
      </c>
      <c r="D35" t="s">
        <v>246</v>
      </c>
      <c r="E35">
        <v>10</v>
      </c>
      <c r="F35" t="s">
        <v>247</v>
      </c>
    </row>
    <row r="36" spans="1:6" x14ac:dyDescent="0.3">
      <c r="A36" t="s">
        <v>214</v>
      </c>
      <c r="B36" t="s">
        <v>215</v>
      </c>
      <c r="C36" t="s">
        <v>216</v>
      </c>
      <c r="D36" t="s">
        <v>217</v>
      </c>
      <c r="E36">
        <v>9</v>
      </c>
      <c r="F36" t="s">
        <v>218</v>
      </c>
    </row>
    <row r="37" spans="1:6" x14ac:dyDescent="0.3">
      <c r="A37" t="s">
        <v>181</v>
      </c>
      <c r="B37" t="s">
        <v>182</v>
      </c>
      <c r="C37" t="s">
        <v>183</v>
      </c>
      <c r="D37" t="s">
        <v>184</v>
      </c>
      <c r="E37">
        <v>6</v>
      </c>
      <c r="F37" t="s">
        <v>185</v>
      </c>
    </row>
    <row r="38" spans="1:6" x14ac:dyDescent="0.3">
      <c r="A38" t="s">
        <v>17</v>
      </c>
      <c r="B38" t="s">
        <v>18</v>
      </c>
      <c r="C38" t="s">
        <v>19</v>
      </c>
      <c r="D38" t="s">
        <v>20</v>
      </c>
      <c r="E38">
        <v>3</v>
      </c>
      <c r="F38" t="s">
        <v>21</v>
      </c>
    </row>
    <row r="39" spans="1:6" x14ac:dyDescent="0.3">
      <c r="A39" t="s">
        <v>373</v>
      </c>
      <c r="B39" t="s">
        <v>374</v>
      </c>
      <c r="C39" t="s">
        <v>375</v>
      </c>
      <c r="D39" t="s">
        <v>376</v>
      </c>
      <c r="E39">
        <v>9</v>
      </c>
      <c r="F39" t="s">
        <v>377</v>
      </c>
    </row>
    <row r="40" spans="1:6" x14ac:dyDescent="0.3">
      <c r="A40" t="s">
        <v>278</v>
      </c>
      <c r="B40" t="s">
        <v>279</v>
      </c>
      <c r="C40" t="s">
        <v>280</v>
      </c>
      <c r="D40" t="s">
        <v>281</v>
      </c>
      <c r="E40">
        <v>7</v>
      </c>
      <c r="F40" t="s">
        <v>282</v>
      </c>
    </row>
    <row r="41" spans="1:6" x14ac:dyDescent="0.3">
      <c r="A41" t="s">
        <v>36</v>
      </c>
      <c r="B41" t="s">
        <v>37</v>
      </c>
      <c r="C41" t="s">
        <v>38</v>
      </c>
      <c r="D41" t="s">
        <v>39</v>
      </c>
      <c r="E41">
        <v>6</v>
      </c>
      <c r="F41" t="s">
        <v>40</v>
      </c>
    </row>
    <row r="42" spans="1:6" x14ac:dyDescent="0.3">
      <c r="A42" t="s">
        <v>529</v>
      </c>
      <c r="B42" t="s">
        <v>530</v>
      </c>
      <c r="C42" t="s">
        <v>531</v>
      </c>
      <c r="D42" t="s">
        <v>532</v>
      </c>
      <c r="E42">
        <v>7</v>
      </c>
      <c r="F42" t="s">
        <v>533</v>
      </c>
    </row>
    <row r="43" spans="1:6" x14ac:dyDescent="0.3">
      <c r="A43" t="s">
        <v>487</v>
      </c>
      <c r="B43" t="s">
        <v>488</v>
      </c>
      <c r="C43" t="s">
        <v>489</v>
      </c>
      <c r="D43" t="s">
        <v>25</v>
      </c>
      <c r="E43">
        <v>0</v>
      </c>
      <c r="F43" t="s">
        <v>490</v>
      </c>
    </row>
    <row r="44" spans="1:6" x14ac:dyDescent="0.3">
      <c r="A44" t="s">
        <v>437</v>
      </c>
      <c r="B44" t="s">
        <v>438</v>
      </c>
      <c r="C44" t="s">
        <v>439</v>
      </c>
      <c r="D44" t="s">
        <v>25</v>
      </c>
      <c r="E44">
        <v>0</v>
      </c>
      <c r="F44" t="s">
        <v>440</v>
      </c>
    </row>
    <row r="45" spans="1:6" x14ac:dyDescent="0.3">
      <c r="A45" t="s">
        <v>157</v>
      </c>
      <c r="B45" t="s">
        <v>158</v>
      </c>
      <c r="C45" t="s">
        <v>159</v>
      </c>
      <c r="D45" t="s">
        <v>160</v>
      </c>
      <c r="E45">
        <v>7</v>
      </c>
      <c r="F45" t="s">
        <v>161</v>
      </c>
    </row>
    <row r="46" spans="1:6" x14ac:dyDescent="0.3">
      <c r="A46" t="s">
        <v>315</v>
      </c>
      <c r="B46" t="s">
        <v>316</v>
      </c>
      <c r="C46" t="s">
        <v>317</v>
      </c>
      <c r="D46" t="s">
        <v>318</v>
      </c>
      <c r="E46">
        <v>4</v>
      </c>
      <c r="F46" t="s">
        <v>319</v>
      </c>
    </row>
    <row r="47" spans="1:6" x14ac:dyDescent="0.3">
      <c r="A47" t="s">
        <v>454</v>
      </c>
      <c r="B47" t="s">
        <v>455</v>
      </c>
      <c r="C47" t="s">
        <v>456</v>
      </c>
      <c r="D47" t="s">
        <v>457</v>
      </c>
      <c r="E47">
        <v>8</v>
      </c>
      <c r="F47" t="s">
        <v>458</v>
      </c>
    </row>
    <row r="48" spans="1:6" x14ac:dyDescent="0.3">
      <c r="A48" t="s">
        <v>441</v>
      </c>
      <c r="B48" t="s">
        <v>442</v>
      </c>
      <c r="C48" t="s">
        <v>443</v>
      </c>
      <c r="D48" t="s">
        <v>444</v>
      </c>
      <c r="E48">
        <v>4</v>
      </c>
      <c r="F48" t="s">
        <v>445</v>
      </c>
    </row>
    <row r="49" spans="1:6" x14ac:dyDescent="0.3">
      <c r="A49" t="s">
        <v>302</v>
      </c>
      <c r="B49" t="s">
        <v>303</v>
      </c>
      <c r="C49" t="s">
        <v>304</v>
      </c>
      <c r="D49" t="s">
        <v>25</v>
      </c>
      <c r="E49">
        <v>0</v>
      </c>
      <c r="F49" t="s">
        <v>305</v>
      </c>
    </row>
    <row r="50" spans="1:6" x14ac:dyDescent="0.3">
      <c r="A50" t="s">
        <v>525</v>
      </c>
      <c r="B50" t="s">
        <v>526</v>
      </c>
      <c r="C50" t="s">
        <v>527</v>
      </c>
      <c r="D50" t="s">
        <v>25</v>
      </c>
      <c r="E50">
        <v>0</v>
      </c>
      <c r="F50" t="s">
        <v>528</v>
      </c>
    </row>
    <row r="51" spans="1:6" x14ac:dyDescent="0.3">
      <c r="A51" t="s">
        <v>353</v>
      </c>
      <c r="B51" t="s">
        <v>354</v>
      </c>
      <c r="C51" t="s">
        <v>355</v>
      </c>
      <c r="D51" t="s">
        <v>356</v>
      </c>
      <c r="E51">
        <v>4</v>
      </c>
      <c r="F51" t="s">
        <v>357</v>
      </c>
    </row>
    <row r="52" spans="1:6" x14ac:dyDescent="0.3">
      <c r="A52" t="s">
        <v>446</v>
      </c>
      <c r="B52" t="s">
        <v>447</v>
      </c>
      <c r="C52" t="s">
        <v>448</v>
      </c>
      <c r="D52" t="s">
        <v>25</v>
      </c>
      <c r="E52">
        <v>0</v>
      </c>
      <c r="F52" t="s">
        <v>449</v>
      </c>
    </row>
    <row r="53" spans="1:6" x14ac:dyDescent="0.3">
      <c r="A53" t="s">
        <v>253</v>
      </c>
      <c r="B53" t="s">
        <v>254</v>
      </c>
      <c r="C53" t="s">
        <v>255</v>
      </c>
      <c r="D53" t="s">
        <v>256</v>
      </c>
      <c r="E53">
        <v>8</v>
      </c>
      <c r="F53" t="s">
        <v>257</v>
      </c>
    </row>
    <row r="54" spans="1:6" x14ac:dyDescent="0.3">
      <c r="A54" t="s">
        <v>238</v>
      </c>
      <c r="B54" t="s">
        <v>239</v>
      </c>
      <c r="C54" t="s">
        <v>240</v>
      </c>
      <c r="D54" t="s">
        <v>241</v>
      </c>
      <c r="E54">
        <v>7</v>
      </c>
      <c r="F54" t="s">
        <v>242</v>
      </c>
    </row>
    <row r="55" spans="1:6" x14ac:dyDescent="0.3">
      <c r="A55" t="s">
        <v>127</v>
      </c>
      <c r="B55" t="s">
        <v>128</v>
      </c>
      <c r="C55" t="s">
        <v>129</v>
      </c>
      <c r="D55" t="s">
        <v>130</v>
      </c>
      <c r="E55">
        <v>6</v>
      </c>
      <c r="F55" t="s">
        <v>131</v>
      </c>
    </row>
    <row r="56" spans="1:6" x14ac:dyDescent="0.3">
      <c r="A56" t="s">
        <v>288</v>
      </c>
      <c r="B56" t="s">
        <v>289</v>
      </c>
      <c r="C56" t="s">
        <v>290</v>
      </c>
      <c r="D56" t="s">
        <v>291</v>
      </c>
      <c r="E56">
        <v>7</v>
      </c>
      <c r="F56" t="s">
        <v>292</v>
      </c>
    </row>
    <row r="57" spans="1:6" x14ac:dyDescent="0.3">
      <c r="A57" t="s">
        <v>233</v>
      </c>
      <c r="B57" t="s">
        <v>234</v>
      </c>
      <c r="C57" t="s">
        <v>235</v>
      </c>
      <c r="D57" t="s">
        <v>236</v>
      </c>
      <c r="E57">
        <v>5</v>
      </c>
      <c r="F57" t="s">
        <v>237</v>
      </c>
    </row>
    <row r="58" spans="1:6" x14ac:dyDescent="0.3">
      <c r="A58" t="s">
        <v>27</v>
      </c>
      <c r="B58" t="s">
        <v>28</v>
      </c>
      <c r="C58" t="s">
        <v>29</v>
      </c>
      <c r="D58" t="s">
        <v>25</v>
      </c>
      <c r="E58">
        <v>0</v>
      </c>
      <c r="F58" t="s">
        <v>30</v>
      </c>
    </row>
    <row r="59" spans="1:6" x14ac:dyDescent="0.3">
      <c r="A59" t="s">
        <v>263</v>
      </c>
      <c r="B59" t="s">
        <v>264</v>
      </c>
      <c r="C59" t="s">
        <v>265</v>
      </c>
      <c r="D59" t="s">
        <v>266</v>
      </c>
      <c r="E59">
        <v>5</v>
      </c>
      <c r="F59" t="s">
        <v>267</v>
      </c>
    </row>
    <row r="60" spans="1:6" x14ac:dyDescent="0.3">
      <c r="A60" t="s">
        <v>506</v>
      </c>
      <c r="B60" t="s">
        <v>507</v>
      </c>
      <c r="C60" t="s">
        <v>508</v>
      </c>
      <c r="D60" t="s">
        <v>509</v>
      </c>
      <c r="E60">
        <v>5</v>
      </c>
      <c r="F60" t="s">
        <v>510</v>
      </c>
    </row>
    <row r="61" spans="1:6" x14ac:dyDescent="0.3">
      <c r="A61" t="s">
        <v>496</v>
      </c>
      <c r="B61" t="s">
        <v>497</v>
      </c>
      <c r="C61" t="s">
        <v>498</v>
      </c>
      <c r="D61" t="s">
        <v>499</v>
      </c>
      <c r="E61">
        <v>4</v>
      </c>
      <c r="F61" t="s">
        <v>500</v>
      </c>
    </row>
    <row r="62" spans="1:6" x14ac:dyDescent="0.3">
      <c r="A62" t="s">
        <v>310</v>
      </c>
      <c r="B62" t="s">
        <v>311</v>
      </c>
      <c r="C62" t="s">
        <v>312</v>
      </c>
      <c r="D62" t="s">
        <v>313</v>
      </c>
      <c r="E62">
        <v>6</v>
      </c>
      <c r="F62" t="s">
        <v>314</v>
      </c>
    </row>
    <row r="63" spans="1:6" x14ac:dyDescent="0.3">
      <c r="A63" t="s">
        <v>117</v>
      </c>
      <c r="B63" t="s">
        <v>118</v>
      </c>
      <c r="C63" t="s">
        <v>119</v>
      </c>
      <c r="D63" t="s">
        <v>120</v>
      </c>
      <c r="E63">
        <v>5</v>
      </c>
      <c r="F63" t="s">
        <v>121</v>
      </c>
    </row>
    <row r="64" spans="1:6" x14ac:dyDescent="0.3">
      <c r="A64" t="s">
        <v>78</v>
      </c>
      <c r="B64" t="s">
        <v>79</v>
      </c>
      <c r="C64" t="s">
        <v>80</v>
      </c>
      <c r="D64" t="s">
        <v>81</v>
      </c>
      <c r="E64">
        <v>6</v>
      </c>
      <c r="F64" t="s">
        <v>82</v>
      </c>
    </row>
    <row r="65" spans="1:6" x14ac:dyDescent="0.3">
      <c r="A65" t="s">
        <v>12</v>
      </c>
      <c r="B65" t="s">
        <v>13</v>
      </c>
      <c r="C65" t="s">
        <v>14</v>
      </c>
      <c r="D65" t="s">
        <v>15</v>
      </c>
      <c r="E65">
        <v>7</v>
      </c>
      <c r="F65" t="s">
        <v>16</v>
      </c>
    </row>
    <row r="66" spans="1:6" x14ac:dyDescent="0.3">
      <c r="A66" t="s">
        <v>69</v>
      </c>
      <c r="B66" t="s">
        <v>70</v>
      </c>
      <c r="C66" t="s">
        <v>71</v>
      </c>
      <c r="D66" t="s">
        <v>72</v>
      </c>
      <c r="E66">
        <v>8</v>
      </c>
      <c r="F66" t="s">
        <v>73</v>
      </c>
    </row>
    <row r="67" spans="1:6" x14ac:dyDescent="0.3">
      <c r="A67" t="s">
        <v>392</v>
      </c>
      <c r="B67" t="s">
        <v>393</v>
      </c>
      <c r="C67" t="s">
        <v>394</v>
      </c>
      <c r="D67" t="s">
        <v>395</v>
      </c>
      <c r="E67">
        <v>5</v>
      </c>
      <c r="F67" t="s">
        <v>396</v>
      </c>
    </row>
    <row r="68" spans="1:6" x14ac:dyDescent="0.3">
      <c r="A68" t="s">
        <v>258</v>
      </c>
      <c r="B68" t="s">
        <v>259</v>
      </c>
      <c r="C68" t="s">
        <v>260</v>
      </c>
      <c r="D68" t="s">
        <v>261</v>
      </c>
      <c r="E68">
        <v>4</v>
      </c>
      <c r="F68" t="s">
        <v>262</v>
      </c>
    </row>
    <row r="69" spans="1:6" x14ac:dyDescent="0.3">
      <c r="A69" t="s">
        <v>383</v>
      </c>
      <c r="B69" t="s">
        <v>384</v>
      </c>
      <c r="C69" t="s">
        <v>385</v>
      </c>
      <c r="D69" t="s">
        <v>25</v>
      </c>
      <c r="E69">
        <v>0</v>
      </c>
      <c r="F69" t="s">
        <v>386</v>
      </c>
    </row>
    <row r="70" spans="1:6" x14ac:dyDescent="0.3">
      <c r="A70" t="s">
        <v>88</v>
      </c>
      <c r="B70" t="s">
        <v>89</v>
      </c>
      <c r="C70" t="s">
        <v>90</v>
      </c>
      <c r="D70" t="s">
        <v>91</v>
      </c>
      <c r="E70">
        <v>5</v>
      </c>
      <c r="F70" t="s">
        <v>92</v>
      </c>
    </row>
    <row r="71" spans="1:6" x14ac:dyDescent="0.3">
      <c r="A71" t="s">
        <v>450</v>
      </c>
      <c r="B71" t="s">
        <v>451</v>
      </c>
      <c r="C71" t="s">
        <v>452</v>
      </c>
      <c r="D71" t="s">
        <v>25</v>
      </c>
      <c r="E71">
        <v>0</v>
      </c>
      <c r="F71" t="s">
        <v>453</v>
      </c>
    </row>
    <row r="72" spans="1:6" x14ac:dyDescent="0.3">
      <c r="A72" t="s">
        <v>51</v>
      </c>
      <c r="B72" t="s">
        <v>52</v>
      </c>
      <c r="C72" t="s">
        <v>53</v>
      </c>
      <c r="D72" t="s">
        <v>25</v>
      </c>
      <c r="E72">
        <v>0</v>
      </c>
      <c r="F72" t="s">
        <v>54</v>
      </c>
    </row>
    <row r="73" spans="1:6" x14ac:dyDescent="0.3">
      <c r="A73" t="s">
        <v>46</v>
      </c>
      <c r="B73" t="s">
        <v>47</v>
      </c>
      <c r="C73" t="s">
        <v>48</v>
      </c>
      <c r="D73" t="s">
        <v>49</v>
      </c>
      <c r="E73">
        <v>3</v>
      </c>
      <c r="F73" t="s">
        <v>50</v>
      </c>
    </row>
    <row r="74" spans="1:6" x14ac:dyDescent="0.3">
      <c r="A74" t="s">
        <v>195</v>
      </c>
      <c r="B74" t="s">
        <v>196</v>
      </c>
      <c r="C74" t="s">
        <v>197</v>
      </c>
      <c r="D74" t="s">
        <v>25</v>
      </c>
      <c r="E74">
        <v>0</v>
      </c>
      <c r="F74" t="s">
        <v>198</v>
      </c>
    </row>
    <row r="75" spans="1:6" x14ac:dyDescent="0.3">
      <c r="A75" t="s">
        <v>107</v>
      </c>
      <c r="B75" t="s">
        <v>108</v>
      </c>
      <c r="C75" t="s">
        <v>109</v>
      </c>
      <c r="D75" t="s">
        <v>110</v>
      </c>
      <c r="E75">
        <v>5</v>
      </c>
      <c r="F75" t="s">
        <v>111</v>
      </c>
    </row>
    <row r="76" spans="1:6" x14ac:dyDescent="0.3">
      <c r="A76" t="s">
        <v>162</v>
      </c>
      <c r="B76" t="s">
        <v>163</v>
      </c>
      <c r="C76" t="s">
        <v>164</v>
      </c>
      <c r="D76" t="s">
        <v>25</v>
      </c>
      <c r="E76">
        <v>0</v>
      </c>
      <c r="F76" t="s">
        <v>165</v>
      </c>
    </row>
    <row r="77" spans="1:6" x14ac:dyDescent="0.3">
      <c r="A77" t="s">
        <v>224</v>
      </c>
      <c r="B77" t="s">
        <v>225</v>
      </c>
      <c r="C77" t="s">
        <v>226</v>
      </c>
      <c r="D77" t="s">
        <v>227</v>
      </c>
      <c r="E77">
        <v>4</v>
      </c>
      <c r="F77" t="s">
        <v>228</v>
      </c>
    </row>
    <row r="78" spans="1:6" x14ac:dyDescent="0.3">
      <c r="A78" t="s">
        <v>22</v>
      </c>
      <c r="B78" t="s">
        <v>23</v>
      </c>
      <c r="C78" t="s">
        <v>24</v>
      </c>
      <c r="D78" t="s">
        <v>25</v>
      </c>
      <c r="E78">
        <v>0</v>
      </c>
      <c r="F78" t="s">
        <v>26</v>
      </c>
    </row>
    <row r="79" spans="1:6" x14ac:dyDescent="0.3">
      <c r="A79" t="s">
        <v>142</v>
      </c>
      <c r="B79" t="s">
        <v>143</v>
      </c>
      <c r="C79" t="s">
        <v>144</v>
      </c>
      <c r="D79" t="s">
        <v>145</v>
      </c>
      <c r="E79">
        <v>9</v>
      </c>
      <c r="F79" t="s">
        <v>146</v>
      </c>
    </row>
    <row r="80" spans="1:6" x14ac:dyDescent="0.3">
      <c r="A80" t="s">
        <v>176</v>
      </c>
      <c r="B80" t="s">
        <v>177</v>
      </c>
      <c r="C80" t="s">
        <v>178</v>
      </c>
      <c r="D80" t="s">
        <v>179</v>
      </c>
      <c r="E80">
        <v>9</v>
      </c>
      <c r="F80" t="s">
        <v>180</v>
      </c>
    </row>
    <row r="81" spans="1:6" x14ac:dyDescent="0.3">
      <c r="A81" t="s">
        <v>501</v>
      </c>
      <c r="B81" t="s">
        <v>502</v>
      </c>
      <c r="C81" t="s">
        <v>503</v>
      </c>
      <c r="D81" t="s">
        <v>504</v>
      </c>
      <c r="E81">
        <v>7</v>
      </c>
      <c r="F81" t="s">
        <v>505</v>
      </c>
    </row>
    <row r="82" spans="1:6" x14ac:dyDescent="0.3">
      <c r="A82" t="s">
        <v>521</v>
      </c>
      <c r="B82" t="s">
        <v>522</v>
      </c>
      <c r="C82" t="s">
        <v>523</v>
      </c>
      <c r="D82" t="s">
        <v>25</v>
      </c>
      <c r="E82">
        <v>0</v>
      </c>
      <c r="F82" t="s">
        <v>524</v>
      </c>
    </row>
    <row r="83" spans="1:6" x14ac:dyDescent="0.3">
      <c r="A83" t="s">
        <v>325</v>
      </c>
      <c r="B83" t="s">
        <v>326</v>
      </c>
      <c r="C83" t="s">
        <v>327</v>
      </c>
      <c r="D83" t="s">
        <v>25</v>
      </c>
      <c r="E83">
        <v>0</v>
      </c>
      <c r="F83" t="s">
        <v>328</v>
      </c>
    </row>
    <row r="84" spans="1:6" x14ac:dyDescent="0.3">
      <c r="A84" t="s">
        <v>137</v>
      </c>
      <c r="B84" t="s">
        <v>138</v>
      </c>
      <c r="C84" t="s">
        <v>139</v>
      </c>
      <c r="D84" t="s">
        <v>140</v>
      </c>
      <c r="E84">
        <v>6</v>
      </c>
      <c r="F84" t="s">
        <v>141</v>
      </c>
    </row>
    <row r="85" spans="1:6" x14ac:dyDescent="0.3">
      <c r="A85" t="s">
        <v>306</v>
      </c>
      <c r="B85" t="s">
        <v>307</v>
      </c>
      <c r="C85" t="s">
        <v>308</v>
      </c>
      <c r="D85" t="s">
        <v>25</v>
      </c>
      <c r="E85">
        <v>0</v>
      </c>
      <c r="F85" t="s">
        <v>309</v>
      </c>
    </row>
    <row r="86" spans="1:6" x14ac:dyDescent="0.3">
      <c r="A86" t="s">
        <v>199</v>
      </c>
      <c r="B86" t="s">
        <v>200</v>
      </c>
      <c r="C86" t="s">
        <v>201</v>
      </c>
      <c r="D86" t="s">
        <v>202</v>
      </c>
      <c r="E86">
        <v>7</v>
      </c>
      <c r="F86" t="s">
        <v>203</v>
      </c>
    </row>
    <row r="87" spans="1:6" x14ac:dyDescent="0.3">
      <c r="A87" t="s">
        <v>333</v>
      </c>
      <c r="B87" t="s">
        <v>334</v>
      </c>
      <c r="C87" t="s">
        <v>335</v>
      </c>
      <c r="D87" t="s">
        <v>336</v>
      </c>
      <c r="E87">
        <v>7</v>
      </c>
      <c r="F87" t="s">
        <v>337</v>
      </c>
    </row>
    <row r="88" spans="1:6" x14ac:dyDescent="0.3">
      <c r="A88" t="s">
        <v>83</v>
      </c>
      <c r="B88" t="s">
        <v>84</v>
      </c>
      <c r="C88" t="s">
        <v>85</v>
      </c>
      <c r="D88" t="s">
        <v>86</v>
      </c>
      <c r="E88">
        <v>6</v>
      </c>
      <c r="F88" t="s">
        <v>87</v>
      </c>
    </row>
    <row r="89" spans="1:6" x14ac:dyDescent="0.3">
      <c r="A89" t="s">
        <v>368</v>
      </c>
      <c r="B89" t="s">
        <v>369</v>
      </c>
      <c r="C89" t="s">
        <v>370</v>
      </c>
      <c r="D89" t="s">
        <v>371</v>
      </c>
      <c r="E89">
        <v>8</v>
      </c>
      <c r="F89" t="s">
        <v>372</v>
      </c>
    </row>
    <row r="90" spans="1:6" x14ac:dyDescent="0.3">
      <c r="A90" t="s">
        <v>132</v>
      </c>
      <c r="B90" t="s">
        <v>133</v>
      </c>
      <c r="C90" t="s">
        <v>134</v>
      </c>
      <c r="D90" t="s">
        <v>135</v>
      </c>
      <c r="E90">
        <v>8</v>
      </c>
      <c r="F90" t="s">
        <v>136</v>
      </c>
    </row>
    <row r="91" spans="1:6" x14ac:dyDescent="0.3">
      <c r="A91" t="s">
        <v>417</v>
      </c>
      <c r="B91" t="s">
        <v>418</v>
      </c>
      <c r="C91" t="s">
        <v>419</v>
      </c>
      <c r="D91" t="s">
        <v>420</v>
      </c>
      <c r="E91">
        <v>8</v>
      </c>
      <c r="F91" t="s">
        <v>421</v>
      </c>
    </row>
    <row r="92" spans="1:6" x14ac:dyDescent="0.3">
      <c r="A92" t="s">
        <v>64</v>
      </c>
      <c r="B92" t="s">
        <v>65</v>
      </c>
      <c r="C92" t="s">
        <v>66</v>
      </c>
      <c r="D92" t="s">
        <v>67</v>
      </c>
      <c r="E92">
        <v>3</v>
      </c>
      <c r="F92" t="s">
        <v>68</v>
      </c>
    </row>
    <row r="93" spans="1:6" x14ac:dyDescent="0.3">
      <c r="A93" t="s">
        <v>407</v>
      </c>
      <c r="B93" t="s">
        <v>408</v>
      </c>
      <c r="C93" t="s">
        <v>409</v>
      </c>
      <c r="D93" t="s">
        <v>410</v>
      </c>
      <c r="E93">
        <v>8</v>
      </c>
      <c r="F93" t="s">
        <v>411</v>
      </c>
    </row>
    <row r="94" spans="1:6" x14ac:dyDescent="0.3">
      <c r="A94" t="s">
        <v>491</v>
      </c>
      <c r="B94" t="s">
        <v>492</v>
      </c>
      <c r="C94" t="s">
        <v>493</v>
      </c>
      <c r="D94" t="s">
        <v>494</v>
      </c>
      <c r="E94">
        <v>4</v>
      </c>
      <c r="F94" t="s">
        <v>495</v>
      </c>
    </row>
    <row r="95" spans="1:6" x14ac:dyDescent="0.3">
      <c r="A95" t="s">
        <v>432</v>
      </c>
      <c r="B95" t="s">
        <v>433</v>
      </c>
      <c r="C95" t="s">
        <v>434</v>
      </c>
      <c r="D95" t="s">
        <v>435</v>
      </c>
      <c r="E95">
        <v>5</v>
      </c>
      <c r="F95" t="s">
        <v>436</v>
      </c>
    </row>
    <row r="96" spans="1:6" x14ac:dyDescent="0.3">
      <c r="A96" t="s">
        <v>329</v>
      </c>
      <c r="B96" t="s">
        <v>330</v>
      </c>
      <c r="C96" t="s">
        <v>331</v>
      </c>
      <c r="D96" t="s">
        <v>25</v>
      </c>
      <c r="E96">
        <v>0</v>
      </c>
      <c r="F96" t="s">
        <v>332</v>
      </c>
    </row>
    <row r="97" spans="1:6" x14ac:dyDescent="0.3">
      <c r="A97" t="s">
        <v>283</v>
      </c>
      <c r="B97" t="s">
        <v>284</v>
      </c>
      <c r="C97" t="s">
        <v>285</v>
      </c>
      <c r="D97" t="s">
        <v>286</v>
      </c>
      <c r="E97">
        <v>4</v>
      </c>
      <c r="F97" t="s">
        <v>287</v>
      </c>
    </row>
    <row r="98" spans="1:6" x14ac:dyDescent="0.3">
      <c r="A98" t="s">
        <v>478</v>
      </c>
      <c r="B98" t="s">
        <v>479</v>
      </c>
      <c r="C98" t="s">
        <v>480</v>
      </c>
      <c r="D98" t="s">
        <v>25</v>
      </c>
      <c r="E98">
        <v>0</v>
      </c>
      <c r="F98" t="s">
        <v>481</v>
      </c>
    </row>
    <row r="99" spans="1:6" x14ac:dyDescent="0.3">
      <c r="A99" t="s">
        <v>219</v>
      </c>
      <c r="B99" t="s">
        <v>220</v>
      </c>
      <c r="C99" t="s">
        <v>221</v>
      </c>
      <c r="D99" t="s">
        <v>222</v>
      </c>
      <c r="E99">
        <v>6</v>
      </c>
      <c r="F99" t="s">
        <v>223</v>
      </c>
    </row>
    <row r="100" spans="1:6" x14ac:dyDescent="0.3">
      <c r="A100" t="s">
        <v>412</v>
      </c>
      <c r="B100" t="s">
        <v>413</v>
      </c>
      <c r="C100" t="s">
        <v>414</v>
      </c>
      <c r="D100" t="s">
        <v>415</v>
      </c>
      <c r="E100">
        <v>6</v>
      </c>
      <c r="F100" t="s">
        <v>416</v>
      </c>
    </row>
    <row r="101" spans="1:6" x14ac:dyDescent="0.3">
      <c r="A101" t="s">
        <v>55</v>
      </c>
      <c r="B101" t="s">
        <v>56</v>
      </c>
      <c r="C101" t="s">
        <v>57</v>
      </c>
      <c r="D101" t="s">
        <v>58</v>
      </c>
      <c r="E101">
        <v>5</v>
      </c>
      <c r="F101" t="s">
        <v>59</v>
      </c>
    </row>
    <row r="102" spans="1:6" x14ac:dyDescent="0.3">
      <c r="A102" t="s">
        <v>459</v>
      </c>
      <c r="B102" t="s">
        <v>460</v>
      </c>
      <c r="C102" t="s">
        <v>461</v>
      </c>
      <c r="D102" t="s">
        <v>25</v>
      </c>
      <c r="E102">
        <v>0</v>
      </c>
      <c r="F102" t="s">
        <v>462</v>
      </c>
    </row>
    <row r="103" spans="1:6" x14ac:dyDescent="0.3">
      <c r="A103" t="s">
        <v>229</v>
      </c>
      <c r="B103" t="s">
        <v>230</v>
      </c>
      <c r="C103" t="s">
        <v>231</v>
      </c>
      <c r="D103" t="s">
        <v>25</v>
      </c>
      <c r="E103">
        <v>0</v>
      </c>
      <c r="F103" t="s">
        <v>232</v>
      </c>
    </row>
    <row r="104" spans="1:6" x14ac:dyDescent="0.3">
      <c r="A104" t="s">
        <v>402</v>
      </c>
      <c r="B104" t="s">
        <v>403</v>
      </c>
      <c r="C104" t="s">
        <v>404</v>
      </c>
      <c r="D104" t="s">
        <v>405</v>
      </c>
      <c r="E104">
        <v>5</v>
      </c>
      <c r="F104" t="s">
        <v>406</v>
      </c>
    </row>
    <row r="105" spans="1:6" x14ac:dyDescent="0.3">
      <c r="A105" t="s">
        <v>482</v>
      </c>
      <c r="B105" t="s">
        <v>483</v>
      </c>
      <c r="C105" t="s">
        <v>484</v>
      </c>
      <c r="D105" t="s">
        <v>485</v>
      </c>
      <c r="E105">
        <v>7</v>
      </c>
      <c r="F105" t="s">
        <v>486</v>
      </c>
    </row>
    <row r="106" spans="1:6" x14ac:dyDescent="0.3">
      <c r="A106" t="s">
        <v>204</v>
      </c>
      <c r="B106" t="s">
        <v>205</v>
      </c>
      <c r="C106" t="s">
        <v>206</v>
      </c>
      <c r="D106" t="s">
        <v>207</v>
      </c>
      <c r="E106">
        <v>4</v>
      </c>
      <c r="F106" t="s">
        <v>208</v>
      </c>
    </row>
    <row r="107" spans="1:6" x14ac:dyDescent="0.3">
      <c r="A107" t="s">
        <v>473</v>
      </c>
      <c r="B107" t="s">
        <v>474</v>
      </c>
      <c r="C107" t="s">
        <v>475</v>
      </c>
      <c r="D107" t="s">
        <v>476</v>
      </c>
      <c r="E107">
        <v>6</v>
      </c>
      <c r="F107" t="s">
        <v>477</v>
      </c>
    </row>
    <row r="108" spans="1:6" x14ac:dyDescent="0.3">
      <c r="A108" t="s">
        <v>6</v>
      </c>
      <c r="B108" t="s">
        <v>8</v>
      </c>
      <c r="C108" t="s">
        <v>9</v>
      </c>
      <c r="D108" t="s">
        <v>10</v>
      </c>
      <c r="E108">
        <v>8</v>
      </c>
      <c r="F108" t="s">
        <v>11</v>
      </c>
    </row>
    <row r="109" spans="1:6" x14ac:dyDescent="0.3">
      <c r="A109" t="s">
        <v>74</v>
      </c>
      <c r="B109" t="s">
        <v>75</v>
      </c>
      <c r="C109" t="s">
        <v>76</v>
      </c>
      <c r="D109" t="s">
        <v>25</v>
      </c>
      <c r="E109">
        <v>0</v>
      </c>
      <c r="F109" t="s">
        <v>77</v>
      </c>
    </row>
    <row r="110" spans="1:6" x14ac:dyDescent="0.3">
      <c r="A110" t="s">
        <v>534</v>
      </c>
      <c r="B110" t="s">
        <v>535</v>
      </c>
      <c r="C110" t="s">
        <v>536</v>
      </c>
      <c r="D110" t="s">
        <v>25</v>
      </c>
      <c r="E110">
        <v>0</v>
      </c>
      <c r="F110" t="s">
        <v>537</v>
      </c>
    </row>
    <row r="111" spans="1:6" x14ac:dyDescent="0.3">
      <c r="A111" t="s">
        <v>191</v>
      </c>
      <c r="B111" t="s">
        <v>192</v>
      </c>
      <c r="C111" t="s">
        <v>193</v>
      </c>
      <c r="D111" t="s">
        <v>25</v>
      </c>
      <c r="E111">
        <v>0</v>
      </c>
      <c r="F111" t="s">
        <v>194</v>
      </c>
    </row>
    <row r="112" spans="1:6" x14ac:dyDescent="0.3">
      <c r="A112" t="s">
        <v>60</v>
      </c>
      <c r="B112" t="s">
        <v>61</v>
      </c>
      <c r="C112" t="s">
        <v>62</v>
      </c>
      <c r="D112" t="s">
        <v>25</v>
      </c>
      <c r="E112">
        <v>0</v>
      </c>
      <c r="F112" t="s">
        <v>63</v>
      </c>
    </row>
  </sheetData>
  <sortState xmlns:xlrd2="http://schemas.microsoft.com/office/spreadsheetml/2017/richdata2" ref="A2:L112">
    <sortCondition ref="A2:A112"/>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6A6FF-A13D-44B2-AB66-5A769CAA88D8}">
  <dimension ref="B1:D6"/>
  <sheetViews>
    <sheetView workbookViewId="0">
      <selection activeCell="D6" sqref="B1:D6"/>
    </sheetView>
  </sheetViews>
  <sheetFormatPr defaultRowHeight="14.4" x14ac:dyDescent="0.3"/>
  <cols>
    <col min="2" max="2" width="7.77734375" customWidth="1"/>
    <col min="3" max="3" width="55.21875" customWidth="1"/>
    <col min="4" max="4" width="51.5546875" customWidth="1"/>
  </cols>
  <sheetData>
    <row r="1" spans="2:4" ht="18" x14ac:dyDescent="0.3">
      <c r="B1" s="10" t="s">
        <v>1749</v>
      </c>
      <c r="C1" s="10" t="s">
        <v>2057</v>
      </c>
      <c r="D1" s="10" t="s">
        <v>2058</v>
      </c>
    </row>
    <row r="2" spans="2:4" ht="54" x14ac:dyDescent="0.3">
      <c r="B2" s="10" t="s">
        <v>2052</v>
      </c>
      <c r="C2" s="11" t="s">
        <v>423</v>
      </c>
      <c r="D2" s="11" t="s">
        <v>743</v>
      </c>
    </row>
    <row r="3" spans="2:4" ht="54" x14ac:dyDescent="0.3">
      <c r="B3" s="10" t="s">
        <v>2053</v>
      </c>
      <c r="C3" s="11" t="s">
        <v>364</v>
      </c>
      <c r="D3" s="11" t="s">
        <v>820</v>
      </c>
    </row>
    <row r="4" spans="2:4" ht="72" x14ac:dyDescent="0.3">
      <c r="B4" s="10" t="s">
        <v>2054</v>
      </c>
      <c r="C4" s="11" t="s">
        <v>517</v>
      </c>
      <c r="D4" s="11" t="s">
        <v>1081</v>
      </c>
    </row>
    <row r="5" spans="2:4" ht="54" x14ac:dyDescent="0.3">
      <c r="B5" s="10" t="s">
        <v>2055</v>
      </c>
      <c r="C5" s="11" t="s">
        <v>299</v>
      </c>
      <c r="D5" s="11" t="s">
        <v>940</v>
      </c>
    </row>
    <row r="6" spans="2:4" ht="54" x14ac:dyDescent="0.3">
      <c r="B6" s="10" t="s">
        <v>2056</v>
      </c>
      <c r="C6" s="11" t="s">
        <v>99</v>
      </c>
      <c r="D6" s="11" t="s">
        <v>1176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5FBB2-2D43-405B-8F66-663AE7660FCC}">
  <dimension ref="A1:F223"/>
  <sheetViews>
    <sheetView workbookViewId="0">
      <selection activeCell="C3" sqref="C3:C7"/>
    </sheetView>
  </sheetViews>
  <sheetFormatPr defaultRowHeight="14.4" x14ac:dyDescent="0.3"/>
  <cols>
    <col min="1" max="1" width="28.44140625" customWidth="1"/>
    <col min="2" max="2" width="4.21875" customWidth="1"/>
    <col min="3" max="3" width="165.88671875" bestFit="1" customWidth="1"/>
    <col min="4" max="4" width="255.77734375" bestFit="1" customWidth="1"/>
    <col min="5" max="5" width="143.109375" customWidth="1"/>
  </cols>
  <sheetData>
    <row r="1" spans="1:6" x14ac:dyDescent="0.3">
      <c r="A1" s="1" t="s">
        <v>0</v>
      </c>
      <c r="B1" s="1" t="s">
        <v>4</v>
      </c>
      <c r="C1" s="1" t="s">
        <v>1</v>
      </c>
      <c r="D1" s="1" t="s">
        <v>2</v>
      </c>
      <c r="E1" s="1" t="s">
        <v>3</v>
      </c>
      <c r="F1" s="1" t="s">
        <v>5</v>
      </c>
    </row>
    <row r="2" spans="1:6" x14ac:dyDescent="0.3">
      <c r="A2" t="s">
        <v>837</v>
      </c>
      <c r="B2">
        <v>0</v>
      </c>
      <c r="C2" t="s">
        <v>838</v>
      </c>
      <c r="D2" t="s">
        <v>839</v>
      </c>
      <c r="E2" t="s">
        <v>25</v>
      </c>
      <c r="F2" t="s">
        <v>840</v>
      </c>
    </row>
    <row r="3" spans="1:6" x14ac:dyDescent="0.3">
      <c r="A3" t="s">
        <v>742</v>
      </c>
      <c r="B3">
        <v>0</v>
      </c>
      <c r="C3" t="s">
        <v>743</v>
      </c>
      <c r="D3" t="s">
        <v>744</v>
      </c>
      <c r="E3" t="s">
        <v>25</v>
      </c>
      <c r="F3" t="s">
        <v>745</v>
      </c>
    </row>
    <row r="4" spans="1:6" x14ac:dyDescent="0.3">
      <c r="A4" t="s">
        <v>1048</v>
      </c>
      <c r="B4">
        <v>3</v>
      </c>
      <c r="C4" t="s">
        <v>820</v>
      </c>
      <c r="D4" t="s">
        <v>1049</v>
      </c>
      <c r="E4" t="s">
        <v>1050</v>
      </c>
      <c r="F4" t="s">
        <v>1051</v>
      </c>
    </row>
    <row r="5" spans="1:6" x14ac:dyDescent="0.3">
      <c r="A5" t="s">
        <v>1080</v>
      </c>
      <c r="B5">
        <v>6</v>
      </c>
      <c r="C5" t="s">
        <v>1081</v>
      </c>
      <c r="D5" t="s">
        <v>1082</v>
      </c>
      <c r="E5" t="s">
        <v>1083</v>
      </c>
      <c r="F5" t="s">
        <v>1084</v>
      </c>
    </row>
    <row r="6" spans="1:6" x14ac:dyDescent="0.3">
      <c r="A6" t="s">
        <v>939</v>
      </c>
      <c r="B6">
        <v>0</v>
      </c>
      <c r="C6" t="s">
        <v>940</v>
      </c>
      <c r="D6" t="s">
        <v>941</v>
      </c>
      <c r="E6" t="s">
        <v>25</v>
      </c>
      <c r="F6" t="s">
        <v>942</v>
      </c>
    </row>
    <row r="7" spans="1:6" x14ac:dyDescent="0.3">
      <c r="A7" t="s">
        <v>1175</v>
      </c>
      <c r="B7">
        <v>0</v>
      </c>
      <c r="C7" t="s">
        <v>1176</v>
      </c>
      <c r="D7" t="s">
        <v>1177</v>
      </c>
      <c r="E7" t="s">
        <v>25</v>
      </c>
      <c r="F7" t="s">
        <v>1178</v>
      </c>
    </row>
    <row r="8" spans="1:6" x14ac:dyDescent="0.3">
      <c r="A8" t="s">
        <v>977</v>
      </c>
      <c r="B8">
        <v>0</v>
      </c>
      <c r="C8" t="s">
        <v>978</v>
      </c>
      <c r="D8" t="s">
        <v>979</v>
      </c>
      <c r="E8" t="s">
        <v>25</v>
      </c>
      <c r="F8" t="s">
        <v>980</v>
      </c>
    </row>
    <row r="9" spans="1:6" x14ac:dyDescent="0.3">
      <c r="A9" t="s">
        <v>1104</v>
      </c>
      <c r="B9">
        <v>0</v>
      </c>
      <c r="C9" t="s">
        <v>1105</v>
      </c>
      <c r="D9" t="s">
        <v>1106</v>
      </c>
      <c r="E9" t="s">
        <v>25</v>
      </c>
      <c r="F9" t="s">
        <v>1107</v>
      </c>
    </row>
    <row r="10" spans="1:6" x14ac:dyDescent="0.3">
      <c r="A10" t="s">
        <v>703</v>
      </c>
      <c r="B10">
        <v>4</v>
      </c>
      <c r="C10" t="s">
        <v>704</v>
      </c>
      <c r="D10" t="s">
        <v>705</v>
      </c>
      <c r="E10" t="s">
        <v>706</v>
      </c>
      <c r="F10" t="s">
        <v>707</v>
      </c>
    </row>
    <row r="11" spans="1:6" x14ac:dyDescent="0.3">
      <c r="A11" t="s">
        <v>1108</v>
      </c>
      <c r="B11">
        <v>5</v>
      </c>
      <c r="C11" t="s">
        <v>1109</v>
      </c>
      <c r="D11" t="s">
        <v>1110</v>
      </c>
      <c r="E11" t="s">
        <v>1111</v>
      </c>
      <c r="F11" t="s">
        <v>1112</v>
      </c>
    </row>
    <row r="12" spans="1:6" x14ac:dyDescent="0.3">
      <c r="A12" t="s">
        <v>746</v>
      </c>
      <c r="B12">
        <v>4</v>
      </c>
      <c r="C12" t="s">
        <v>747</v>
      </c>
      <c r="D12" t="s">
        <v>748</v>
      </c>
      <c r="E12" t="s">
        <v>749</v>
      </c>
      <c r="F12" t="s">
        <v>750</v>
      </c>
    </row>
    <row r="13" spans="1:6" x14ac:dyDescent="0.3">
      <c r="A13" t="s">
        <v>708</v>
      </c>
      <c r="B13">
        <v>7</v>
      </c>
      <c r="C13" t="s">
        <v>709</v>
      </c>
      <c r="D13" t="s">
        <v>710</v>
      </c>
      <c r="E13" t="s">
        <v>711</v>
      </c>
      <c r="F13" t="s">
        <v>712</v>
      </c>
    </row>
    <row r="14" spans="1:6" x14ac:dyDescent="0.3">
      <c r="A14" t="s">
        <v>1335</v>
      </c>
      <c r="B14">
        <v>0</v>
      </c>
      <c r="C14" t="s">
        <v>1336</v>
      </c>
      <c r="D14" t="s">
        <v>1337</v>
      </c>
      <c r="E14" t="s">
        <v>25</v>
      </c>
      <c r="F14" t="s">
        <v>1338</v>
      </c>
    </row>
    <row r="15" spans="1:6" x14ac:dyDescent="0.3">
      <c r="A15" t="s">
        <v>1218</v>
      </c>
      <c r="B15">
        <v>7</v>
      </c>
      <c r="C15" t="s">
        <v>1219</v>
      </c>
      <c r="D15" t="s">
        <v>1220</v>
      </c>
      <c r="E15" t="s">
        <v>1221</v>
      </c>
      <c r="F15" t="s">
        <v>1222</v>
      </c>
    </row>
    <row r="16" spans="1:6" x14ac:dyDescent="0.3">
      <c r="A16" t="s">
        <v>1347</v>
      </c>
      <c r="B16">
        <v>7</v>
      </c>
      <c r="C16" t="s">
        <v>1348</v>
      </c>
      <c r="D16" t="s">
        <v>1349</v>
      </c>
      <c r="E16" t="s">
        <v>1350</v>
      </c>
      <c r="F16" t="s">
        <v>1351</v>
      </c>
    </row>
    <row r="17" spans="1:6" x14ac:dyDescent="0.3">
      <c r="A17" t="s">
        <v>1422</v>
      </c>
      <c r="B17">
        <v>0</v>
      </c>
      <c r="C17" t="s">
        <v>1423</v>
      </c>
      <c r="D17" t="s">
        <v>1424</v>
      </c>
      <c r="E17" t="s">
        <v>25</v>
      </c>
      <c r="F17" t="s">
        <v>1425</v>
      </c>
    </row>
    <row r="18" spans="1:6" x14ac:dyDescent="0.3">
      <c r="A18" t="s">
        <v>1300</v>
      </c>
      <c r="B18">
        <v>0</v>
      </c>
      <c r="C18" t="s">
        <v>1301</v>
      </c>
      <c r="D18" t="s">
        <v>1302</v>
      </c>
      <c r="E18" t="s">
        <v>25</v>
      </c>
      <c r="F18" t="s">
        <v>1303</v>
      </c>
    </row>
    <row r="19" spans="1:6" x14ac:dyDescent="0.3">
      <c r="A19" t="s">
        <v>756</v>
      </c>
      <c r="B19">
        <v>8</v>
      </c>
      <c r="C19" t="s">
        <v>757</v>
      </c>
      <c r="D19" t="s">
        <v>758</v>
      </c>
      <c r="E19" t="s">
        <v>759</v>
      </c>
      <c r="F19" t="s">
        <v>760</v>
      </c>
    </row>
    <row r="20" spans="1:6" x14ac:dyDescent="0.3">
      <c r="A20" t="s">
        <v>1269</v>
      </c>
      <c r="B20">
        <v>7</v>
      </c>
      <c r="C20" t="s">
        <v>1270</v>
      </c>
      <c r="D20" t="s">
        <v>1271</v>
      </c>
      <c r="E20" t="s">
        <v>1272</v>
      </c>
      <c r="F20" t="s">
        <v>1273</v>
      </c>
    </row>
    <row r="21" spans="1:6" x14ac:dyDescent="0.3">
      <c r="A21" t="s">
        <v>1140</v>
      </c>
      <c r="B21">
        <v>5</v>
      </c>
      <c r="C21" t="s">
        <v>1141</v>
      </c>
      <c r="D21" t="s">
        <v>1142</v>
      </c>
      <c r="E21" t="s">
        <v>1143</v>
      </c>
      <c r="F21" t="s">
        <v>1144</v>
      </c>
    </row>
    <row r="22" spans="1:6" x14ac:dyDescent="0.3">
      <c r="A22" t="s">
        <v>723</v>
      </c>
      <c r="B22">
        <v>6</v>
      </c>
      <c r="C22" t="s">
        <v>724</v>
      </c>
      <c r="D22" t="s">
        <v>725</v>
      </c>
      <c r="E22" t="s">
        <v>726</v>
      </c>
      <c r="F22" t="s">
        <v>727</v>
      </c>
    </row>
    <row r="23" spans="1:6" x14ac:dyDescent="0.3">
      <c r="A23" t="s">
        <v>1196</v>
      </c>
      <c r="B23">
        <v>7</v>
      </c>
      <c r="C23" t="s">
        <v>1197</v>
      </c>
      <c r="D23" t="s">
        <v>1198</v>
      </c>
      <c r="E23" t="s">
        <v>1199</v>
      </c>
      <c r="F23" t="s">
        <v>1200</v>
      </c>
    </row>
    <row r="24" spans="1:6" x14ac:dyDescent="0.3">
      <c r="A24" t="s">
        <v>964</v>
      </c>
      <c r="B24">
        <v>0</v>
      </c>
      <c r="C24" t="s">
        <v>965</v>
      </c>
      <c r="D24" t="s">
        <v>966</v>
      </c>
      <c r="E24" t="s">
        <v>25</v>
      </c>
      <c r="F24" t="s">
        <v>967</v>
      </c>
    </row>
    <row r="25" spans="1:6" x14ac:dyDescent="0.3">
      <c r="A25" t="s">
        <v>806</v>
      </c>
      <c r="B25">
        <v>6</v>
      </c>
      <c r="C25" t="s">
        <v>807</v>
      </c>
      <c r="D25" t="s">
        <v>808</v>
      </c>
      <c r="E25" t="s">
        <v>809</v>
      </c>
      <c r="F25" t="s">
        <v>810</v>
      </c>
    </row>
    <row r="26" spans="1:6" x14ac:dyDescent="0.3">
      <c r="A26" t="s">
        <v>1011</v>
      </c>
      <c r="B26">
        <v>7</v>
      </c>
      <c r="C26" t="s">
        <v>1012</v>
      </c>
      <c r="D26" t="s">
        <v>1013</v>
      </c>
      <c r="E26" t="s">
        <v>1014</v>
      </c>
      <c r="F26" t="s">
        <v>1015</v>
      </c>
    </row>
    <row r="27" spans="1:6" x14ac:dyDescent="0.3">
      <c r="A27" t="s">
        <v>1374</v>
      </c>
      <c r="B27">
        <v>5</v>
      </c>
      <c r="C27" t="s">
        <v>1375</v>
      </c>
      <c r="D27" t="s">
        <v>1376</v>
      </c>
      <c r="E27" t="s">
        <v>1377</v>
      </c>
      <c r="F27" t="s">
        <v>1378</v>
      </c>
    </row>
    <row r="28" spans="1:6" x14ac:dyDescent="0.3">
      <c r="A28" t="s">
        <v>1016</v>
      </c>
      <c r="B28">
        <v>5</v>
      </c>
      <c r="C28" t="s">
        <v>1017</v>
      </c>
      <c r="D28" t="s">
        <v>1018</v>
      </c>
      <c r="E28" t="s">
        <v>1019</v>
      </c>
      <c r="F28" t="s">
        <v>1020</v>
      </c>
    </row>
    <row r="29" spans="1:6" x14ac:dyDescent="0.3">
      <c r="A29" t="s">
        <v>1118</v>
      </c>
      <c r="B29">
        <v>6</v>
      </c>
      <c r="C29" t="s">
        <v>1119</v>
      </c>
      <c r="D29" t="s">
        <v>1120</v>
      </c>
      <c r="E29" t="s">
        <v>1121</v>
      </c>
      <c r="F29" t="s">
        <v>1122</v>
      </c>
    </row>
    <row r="30" spans="1:6" x14ac:dyDescent="0.3">
      <c r="A30" t="s">
        <v>1314</v>
      </c>
      <c r="B30">
        <v>6</v>
      </c>
      <c r="C30" t="s">
        <v>1315</v>
      </c>
      <c r="D30" t="s">
        <v>1316</v>
      </c>
      <c r="E30" t="s">
        <v>1317</v>
      </c>
      <c r="F30" t="s">
        <v>1318</v>
      </c>
    </row>
    <row r="31" spans="1:6" x14ac:dyDescent="0.3">
      <c r="A31" t="s">
        <v>1402</v>
      </c>
      <c r="B31">
        <v>0</v>
      </c>
      <c r="C31" t="s">
        <v>1403</v>
      </c>
      <c r="D31" t="s">
        <v>1404</v>
      </c>
      <c r="E31" t="s">
        <v>25</v>
      </c>
      <c r="F31" t="s">
        <v>1405</v>
      </c>
    </row>
    <row r="32" spans="1:6" x14ac:dyDescent="0.3">
      <c r="A32" t="s">
        <v>1038</v>
      </c>
      <c r="B32">
        <v>8</v>
      </c>
      <c r="C32" t="s">
        <v>1039</v>
      </c>
      <c r="D32" t="s">
        <v>1040</v>
      </c>
      <c r="E32" t="s">
        <v>1041</v>
      </c>
      <c r="F32" t="s">
        <v>1042</v>
      </c>
    </row>
    <row r="33" spans="1:6" x14ac:dyDescent="0.3">
      <c r="A33" t="s">
        <v>1250</v>
      </c>
      <c r="B33">
        <v>6</v>
      </c>
      <c r="C33" t="s">
        <v>1251</v>
      </c>
      <c r="D33" t="s">
        <v>1252</v>
      </c>
      <c r="E33" t="s">
        <v>1253</v>
      </c>
      <c r="F33" t="s">
        <v>1254</v>
      </c>
    </row>
    <row r="34" spans="1:6" x14ac:dyDescent="0.3">
      <c r="A34" t="s">
        <v>986</v>
      </c>
      <c r="B34">
        <v>0</v>
      </c>
      <c r="C34" t="s">
        <v>987</v>
      </c>
      <c r="D34" t="s">
        <v>988</v>
      </c>
      <c r="E34" t="s">
        <v>25</v>
      </c>
      <c r="F34" t="s">
        <v>989</v>
      </c>
    </row>
    <row r="35" spans="1:6" x14ac:dyDescent="0.3">
      <c r="A35" t="s">
        <v>713</v>
      </c>
      <c r="B35">
        <v>5</v>
      </c>
      <c r="C35" t="s">
        <v>714</v>
      </c>
      <c r="D35" t="s">
        <v>715</v>
      </c>
      <c r="E35" t="s">
        <v>716</v>
      </c>
      <c r="F35" t="s">
        <v>717</v>
      </c>
    </row>
    <row r="36" spans="1:6" x14ac:dyDescent="0.3">
      <c r="A36" t="s">
        <v>1458</v>
      </c>
      <c r="B36">
        <v>6</v>
      </c>
      <c r="C36" t="s">
        <v>1459</v>
      </c>
      <c r="D36" t="s">
        <v>1460</v>
      </c>
      <c r="E36" t="s">
        <v>1461</v>
      </c>
      <c r="F36" t="s">
        <v>1462</v>
      </c>
    </row>
    <row r="37" spans="1:6" x14ac:dyDescent="0.3">
      <c r="A37" t="s">
        <v>990</v>
      </c>
      <c r="B37">
        <v>9</v>
      </c>
      <c r="C37" t="s">
        <v>991</v>
      </c>
      <c r="D37" t="s">
        <v>992</v>
      </c>
      <c r="E37" t="s">
        <v>993</v>
      </c>
      <c r="F37" t="s">
        <v>994</v>
      </c>
    </row>
    <row r="38" spans="1:6" x14ac:dyDescent="0.3">
      <c r="A38" t="s">
        <v>547</v>
      </c>
      <c r="B38">
        <v>0</v>
      </c>
      <c r="C38" t="s">
        <v>548</v>
      </c>
      <c r="D38" t="s">
        <v>549</v>
      </c>
      <c r="E38" t="s">
        <v>25</v>
      </c>
      <c r="F38" t="s">
        <v>550</v>
      </c>
    </row>
    <row r="39" spans="1:6" x14ac:dyDescent="0.3">
      <c r="A39" t="s">
        <v>1384</v>
      </c>
      <c r="B39">
        <v>0</v>
      </c>
      <c r="C39" t="s">
        <v>1385</v>
      </c>
      <c r="D39" t="s">
        <v>1386</v>
      </c>
      <c r="E39" t="s">
        <v>25</v>
      </c>
      <c r="F39" t="s">
        <v>1387</v>
      </c>
    </row>
    <row r="40" spans="1:6" x14ac:dyDescent="0.3">
      <c r="A40" t="s">
        <v>934</v>
      </c>
      <c r="B40">
        <v>4</v>
      </c>
      <c r="C40" t="s">
        <v>935</v>
      </c>
      <c r="D40" t="s">
        <v>936</v>
      </c>
      <c r="E40" t="s">
        <v>937</v>
      </c>
      <c r="F40" t="s">
        <v>938</v>
      </c>
    </row>
    <row r="41" spans="1:6" x14ac:dyDescent="0.3">
      <c r="A41" t="s">
        <v>1485</v>
      </c>
      <c r="B41">
        <v>5</v>
      </c>
      <c r="C41" t="s">
        <v>1486</v>
      </c>
      <c r="D41" t="s">
        <v>1487</v>
      </c>
      <c r="E41" t="s">
        <v>1488</v>
      </c>
      <c r="F41" t="s">
        <v>1489</v>
      </c>
    </row>
    <row r="42" spans="1:6" x14ac:dyDescent="0.3">
      <c r="A42" t="s">
        <v>1188</v>
      </c>
      <c r="B42">
        <v>0</v>
      </c>
      <c r="C42" t="s">
        <v>1189</v>
      </c>
      <c r="D42" t="s">
        <v>25</v>
      </c>
      <c r="E42" t="s">
        <v>25</v>
      </c>
      <c r="F42" t="s">
        <v>1190</v>
      </c>
    </row>
    <row r="43" spans="1:6" x14ac:dyDescent="0.3">
      <c r="A43" t="s">
        <v>864</v>
      </c>
      <c r="B43">
        <v>6</v>
      </c>
      <c r="C43" t="s">
        <v>865</v>
      </c>
      <c r="D43" t="s">
        <v>866</v>
      </c>
      <c r="E43" t="s">
        <v>867</v>
      </c>
      <c r="F43" t="s">
        <v>868</v>
      </c>
    </row>
    <row r="44" spans="1:6" x14ac:dyDescent="0.3">
      <c r="A44" t="s">
        <v>888</v>
      </c>
      <c r="B44">
        <v>0</v>
      </c>
      <c r="C44" t="s">
        <v>889</v>
      </c>
      <c r="D44" t="s">
        <v>890</v>
      </c>
      <c r="E44" t="s">
        <v>25</v>
      </c>
      <c r="F44" t="s">
        <v>891</v>
      </c>
    </row>
    <row r="45" spans="1:6" x14ac:dyDescent="0.3">
      <c r="A45" t="s">
        <v>676</v>
      </c>
      <c r="B45">
        <v>0</v>
      </c>
      <c r="C45" t="s">
        <v>677</v>
      </c>
      <c r="D45" t="s">
        <v>678</v>
      </c>
      <c r="E45" t="s">
        <v>25</v>
      </c>
      <c r="F45" t="s">
        <v>679</v>
      </c>
    </row>
    <row r="46" spans="1:6" x14ac:dyDescent="0.3">
      <c r="A46" t="s">
        <v>922</v>
      </c>
      <c r="B46">
        <v>0</v>
      </c>
      <c r="C46" t="s">
        <v>923</v>
      </c>
      <c r="D46" t="s">
        <v>924</v>
      </c>
      <c r="E46" t="s">
        <v>25</v>
      </c>
      <c r="F46" t="s">
        <v>925</v>
      </c>
    </row>
    <row r="47" spans="1:6" x14ac:dyDescent="0.3">
      <c r="A47" t="s">
        <v>1444</v>
      </c>
      <c r="B47">
        <v>0</v>
      </c>
      <c r="C47" t="s">
        <v>1445</v>
      </c>
      <c r="D47" t="s">
        <v>1446</v>
      </c>
      <c r="E47" t="s">
        <v>25</v>
      </c>
      <c r="F47" t="s">
        <v>1447</v>
      </c>
    </row>
    <row r="48" spans="1:6" x14ac:dyDescent="0.3">
      <c r="A48" t="s">
        <v>914</v>
      </c>
      <c r="B48">
        <v>0</v>
      </c>
      <c r="C48" t="s">
        <v>915</v>
      </c>
      <c r="D48" t="s">
        <v>916</v>
      </c>
      <c r="E48" t="s">
        <v>25</v>
      </c>
      <c r="F48" t="s">
        <v>917</v>
      </c>
    </row>
    <row r="49" spans="1:6" x14ac:dyDescent="0.3">
      <c r="A49" t="s">
        <v>1512</v>
      </c>
      <c r="B49">
        <v>0</v>
      </c>
      <c r="C49" t="s">
        <v>1513</v>
      </c>
      <c r="D49" t="s">
        <v>1514</v>
      </c>
      <c r="E49" t="s">
        <v>25</v>
      </c>
      <c r="F49" t="s">
        <v>1515</v>
      </c>
    </row>
    <row r="50" spans="1:6" x14ac:dyDescent="0.3">
      <c r="A50" t="s">
        <v>815</v>
      </c>
      <c r="B50">
        <v>0</v>
      </c>
      <c r="C50" t="s">
        <v>816</v>
      </c>
      <c r="D50" t="s">
        <v>817</v>
      </c>
      <c r="E50" t="s">
        <v>25</v>
      </c>
      <c r="F50" t="s">
        <v>818</v>
      </c>
    </row>
    <row r="51" spans="1:6" x14ac:dyDescent="0.3">
      <c r="A51" t="s">
        <v>1414</v>
      </c>
      <c r="B51">
        <v>0</v>
      </c>
      <c r="C51" t="s">
        <v>1415</v>
      </c>
      <c r="D51" t="s">
        <v>1416</v>
      </c>
      <c r="E51" t="s">
        <v>25</v>
      </c>
      <c r="F51" t="s">
        <v>1417</v>
      </c>
    </row>
    <row r="52" spans="1:6" x14ac:dyDescent="0.3">
      <c r="A52" t="s">
        <v>728</v>
      </c>
      <c r="B52">
        <v>6</v>
      </c>
      <c r="C52" t="s">
        <v>729</v>
      </c>
      <c r="D52" t="s">
        <v>730</v>
      </c>
      <c r="E52" t="s">
        <v>731</v>
      </c>
      <c r="F52" t="s">
        <v>732</v>
      </c>
    </row>
    <row r="53" spans="1:6" x14ac:dyDescent="0.3">
      <c r="A53" t="s">
        <v>543</v>
      </c>
      <c r="B53">
        <v>0</v>
      </c>
      <c r="C53" t="s">
        <v>544</v>
      </c>
      <c r="D53" t="s">
        <v>545</v>
      </c>
      <c r="E53" t="s">
        <v>25</v>
      </c>
      <c r="F53" t="s">
        <v>546</v>
      </c>
    </row>
    <row r="54" spans="1:6" x14ac:dyDescent="0.3">
      <c r="A54" t="s">
        <v>1034</v>
      </c>
      <c r="B54">
        <v>0</v>
      </c>
      <c r="C54" t="s">
        <v>1035</v>
      </c>
      <c r="D54" t="s">
        <v>1036</v>
      </c>
      <c r="E54" t="s">
        <v>25</v>
      </c>
      <c r="F54" t="s">
        <v>1037</v>
      </c>
    </row>
    <row r="55" spans="1:6" x14ac:dyDescent="0.3">
      <c r="A55" t="s">
        <v>1365</v>
      </c>
      <c r="B55">
        <v>8</v>
      </c>
      <c r="C55" t="s">
        <v>1366</v>
      </c>
      <c r="D55" t="s">
        <v>1367</v>
      </c>
      <c r="E55" t="s">
        <v>1368</v>
      </c>
      <c r="F55" t="s">
        <v>1369</v>
      </c>
    </row>
    <row r="56" spans="1:6" x14ac:dyDescent="0.3">
      <c r="A56" t="s">
        <v>811</v>
      </c>
      <c r="B56">
        <v>0</v>
      </c>
      <c r="C56" t="s">
        <v>812</v>
      </c>
      <c r="D56" t="s">
        <v>813</v>
      </c>
      <c r="E56" t="s">
        <v>25</v>
      </c>
      <c r="F56" t="s">
        <v>814</v>
      </c>
    </row>
    <row r="57" spans="1:6" x14ac:dyDescent="0.3">
      <c r="A57" t="s">
        <v>574</v>
      </c>
      <c r="B57">
        <v>4</v>
      </c>
      <c r="C57" t="s">
        <v>575</v>
      </c>
      <c r="D57" t="s">
        <v>576</v>
      </c>
      <c r="E57" t="s">
        <v>577</v>
      </c>
      <c r="F57" t="s">
        <v>578</v>
      </c>
    </row>
    <row r="58" spans="1:6" x14ac:dyDescent="0.3">
      <c r="A58" t="s">
        <v>1264</v>
      </c>
      <c r="B58">
        <v>4</v>
      </c>
      <c r="C58" t="s">
        <v>1265</v>
      </c>
      <c r="D58" t="s">
        <v>1266</v>
      </c>
      <c r="E58" t="s">
        <v>1267</v>
      </c>
      <c r="F58" t="s">
        <v>1268</v>
      </c>
    </row>
    <row r="59" spans="1:6" x14ac:dyDescent="0.3">
      <c r="A59" t="s">
        <v>684</v>
      </c>
      <c r="B59">
        <v>0</v>
      </c>
      <c r="C59" t="s">
        <v>685</v>
      </c>
      <c r="D59" t="s">
        <v>686</v>
      </c>
      <c r="E59" t="s">
        <v>25</v>
      </c>
      <c r="F59" t="s">
        <v>687</v>
      </c>
    </row>
    <row r="60" spans="1:6" x14ac:dyDescent="0.3">
      <c r="A60" t="s">
        <v>896</v>
      </c>
      <c r="B60">
        <v>0</v>
      </c>
      <c r="C60" t="s">
        <v>897</v>
      </c>
      <c r="D60" t="s">
        <v>898</v>
      </c>
      <c r="E60" t="s">
        <v>25</v>
      </c>
      <c r="F60" t="s">
        <v>899</v>
      </c>
    </row>
    <row r="61" spans="1:6" x14ac:dyDescent="0.3">
      <c r="A61" t="s">
        <v>663</v>
      </c>
      <c r="B61">
        <v>4</v>
      </c>
      <c r="C61" t="s">
        <v>664</v>
      </c>
      <c r="D61" t="s">
        <v>665</v>
      </c>
      <c r="E61" t="s">
        <v>666</v>
      </c>
      <c r="F61" t="s">
        <v>667</v>
      </c>
    </row>
    <row r="62" spans="1:6" x14ac:dyDescent="0.3">
      <c r="A62" t="s">
        <v>1319</v>
      </c>
      <c r="B62">
        <v>0</v>
      </c>
      <c r="C62" t="s">
        <v>1320</v>
      </c>
      <c r="D62" t="s">
        <v>1321</v>
      </c>
      <c r="E62" t="s">
        <v>25</v>
      </c>
      <c r="F62" t="s">
        <v>1322</v>
      </c>
    </row>
    <row r="63" spans="1:6" x14ac:dyDescent="0.3">
      <c r="A63" t="s">
        <v>943</v>
      </c>
      <c r="B63">
        <v>0</v>
      </c>
      <c r="C63" t="s">
        <v>944</v>
      </c>
      <c r="D63" t="s">
        <v>945</v>
      </c>
      <c r="E63" t="s">
        <v>25</v>
      </c>
      <c r="F63" t="s">
        <v>946</v>
      </c>
    </row>
    <row r="64" spans="1:6" x14ac:dyDescent="0.3">
      <c r="A64" t="s">
        <v>569</v>
      </c>
      <c r="B64">
        <v>4</v>
      </c>
      <c r="C64" t="s">
        <v>570</v>
      </c>
      <c r="D64" t="s">
        <v>571</v>
      </c>
      <c r="E64" t="s">
        <v>572</v>
      </c>
      <c r="F64" t="s">
        <v>573</v>
      </c>
    </row>
    <row r="65" spans="1:6" x14ac:dyDescent="0.3">
      <c r="A65" t="s">
        <v>579</v>
      </c>
      <c r="B65">
        <v>6</v>
      </c>
      <c r="C65" t="s">
        <v>580</v>
      </c>
      <c r="D65" t="s">
        <v>581</v>
      </c>
      <c r="E65" t="s">
        <v>582</v>
      </c>
      <c r="F65" t="s">
        <v>583</v>
      </c>
    </row>
    <row r="66" spans="1:6" x14ac:dyDescent="0.3">
      <c r="A66" t="s">
        <v>688</v>
      </c>
      <c r="B66">
        <v>7</v>
      </c>
      <c r="C66" t="s">
        <v>689</v>
      </c>
      <c r="D66" t="s">
        <v>690</v>
      </c>
      <c r="E66" t="s">
        <v>691</v>
      </c>
      <c r="F66" t="s">
        <v>692</v>
      </c>
    </row>
    <row r="67" spans="1:6" x14ac:dyDescent="0.3">
      <c r="A67" t="s">
        <v>788</v>
      </c>
      <c r="B67">
        <v>7</v>
      </c>
      <c r="C67" t="s">
        <v>789</v>
      </c>
      <c r="D67" t="s">
        <v>790</v>
      </c>
      <c r="E67" t="s">
        <v>791</v>
      </c>
      <c r="F67" t="s">
        <v>792</v>
      </c>
    </row>
    <row r="68" spans="1:6" x14ac:dyDescent="0.3">
      <c r="A68" t="s">
        <v>874</v>
      </c>
      <c r="B68">
        <v>0</v>
      </c>
      <c r="C68" t="s">
        <v>875</v>
      </c>
      <c r="D68" t="s">
        <v>876</v>
      </c>
      <c r="E68" t="s">
        <v>25</v>
      </c>
      <c r="F68" t="s">
        <v>877</v>
      </c>
    </row>
    <row r="69" spans="1:6" x14ac:dyDescent="0.3">
      <c r="A69" t="s">
        <v>623</v>
      </c>
      <c r="B69">
        <v>5</v>
      </c>
      <c r="C69" t="s">
        <v>624</v>
      </c>
      <c r="D69" t="s">
        <v>625</v>
      </c>
      <c r="E69" t="s">
        <v>626</v>
      </c>
      <c r="F69" t="s">
        <v>627</v>
      </c>
    </row>
    <row r="70" spans="1:6" x14ac:dyDescent="0.3">
      <c r="A70" t="s">
        <v>900</v>
      </c>
      <c r="B70">
        <v>0</v>
      </c>
      <c r="C70" t="s">
        <v>901</v>
      </c>
      <c r="D70" t="s">
        <v>902</v>
      </c>
      <c r="E70" t="s">
        <v>25</v>
      </c>
      <c r="F70" t="s">
        <v>903</v>
      </c>
    </row>
    <row r="71" spans="1:6" x14ac:dyDescent="0.3">
      <c r="A71" t="s">
        <v>672</v>
      </c>
      <c r="B71">
        <v>0</v>
      </c>
      <c r="C71" t="s">
        <v>673</v>
      </c>
      <c r="D71" t="s">
        <v>674</v>
      </c>
      <c r="E71" t="s">
        <v>25</v>
      </c>
      <c r="F71" t="s">
        <v>675</v>
      </c>
    </row>
    <row r="72" spans="1:6" x14ac:dyDescent="0.3">
      <c r="A72" t="s">
        <v>952</v>
      </c>
      <c r="B72">
        <v>0</v>
      </c>
      <c r="C72" t="s">
        <v>953</v>
      </c>
      <c r="D72" t="s">
        <v>954</v>
      </c>
      <c r="E72" t="s">
        <v>25</v>
      </c>
      <c r="F72" t="s">
        <v>955</v>
      </c>
    </row>
    <row r="73" spans="1:6" x14ac:dyDescent="0.3">
      <c r="A73" t="s">
        <v>1435</v>
      </c>
      <c r="B73">
        <v>0</v>
      </c>
      <c r="C73" t="s">
        <v>1436</v>
      </c>
      <c r="D73" t="s">
        <v>1437</v>
      </c>
      <c r="E73" t="s">
        <v>25</v>
      </c>
      <c r="F73" t="s">
        <v>1438</v>
      </c>
    </row>
    <row r="74" spans="1:6" x14ac:dyDescent="0.3">
      <c r="A74" t="s">
        <v>1393</v>
      </c>
      <c r="B74">
        <v>0</v>
      </c>
      <c r="C74" t="s">
        <v>1394</v>
      </c>
      <c r="D74" t="s">
        <v>1395</v>
      </c>
      <c r="E74" t="s">
        <v>25</v>
      </c>
      <c r="F74" t="s">
        <v>1396</v>
      </c>
    </row>
    <row r="75" spans="1:6" x14ac:dyDescent="0.3">
      <c r="A75" t="s">
        <v>1150</v>
      </c>
      <c r="B75">
        <v>0</v>
      </c>
      <c r="C75" t="s">
        <v>1151</v>
      </c>
      <c r="D75" t="s">
        <v>1152</v>
      </c>
      <c r="E75" t="s">
        <v>25</v>
      </c>
      <c r="F75" t="s">
        <v>1153</v>
      </c>
    </row>
    <row r="76" spans="1:6" x14ac:dyDescent="0.3">
      <c r="A76" t="s">
        <v>1100</v>
      </c>
      <c r="B76">
        <v>0</v>
      </c>
      <c r="C76" t="s">
        <v>1101</v>
      </c>
      <c r="D76" t="s">
        <v>1102</v>
      </c>
      <c r="E76" t="s">
        <v>25</v>
      </c>
      <c r="F76" t="s">
        <v>1103</v>
      </c>
    </row>
    <row r="77" spans="1:6" x14ac:dyDescent="0.3">
      <c r="A77" t="s">
        <v>1481</v>
      </c>
      <c r="B77">
        <v>0</v>
      </c>
      <c r="C77" t="s">
        <v>1482</v>
      </c>
      <c r="D77" t="s">
        <v>1483</v>
      </c>
      <c r="E77" t="s">
        <v>25</v>
      </c>
      <c r="F77" t="s">
        <v>1484</v>
      </c>
    </row>
    <row r="78" spans="1:6" x14ac:dyDescent="0.3">
      <c r="A78" t="s">
        <v>1127</v>
      </c>
      <c r="B78">
        <v>0</v>
      </c>
      <c r="C78" t="s">
        <v>1128</v>
      </c>
      <c r="D78" t="s">
        <v>1129</v>
      </c>
      <c r="E78" t="s">
        <v>25</v>
      </c>
      <c r="F78" t="s">
        <v>1130</v>
      </c>
    </row>
    <row r="79" spans="1:6" x14ac:dyDescent="0.3">
      <c r="A79" t="s">
        <v>1237</v>
      </c>
      <c r="B79">
        <v>0</v>
      </c>
      <c r="C79" t="s">
        <v>1238</v>
      </c>
      <c r="D79" t="s">
        <v>1239</v>
      </c>
      <c r="E79" t="s">
        <v>25</v>
      </c>
      <c r="F79" t="s">
        <v>1240</v>
      </c>
    </row>
    <row r="80" spans="1:6" x14ac:dyDescent="0.3">
      <c r="A80" t="s">
        <v>775</v>
      </c>
      <c r="B80">
        <v>7</v>
      </c>
      <c r="C80" t="s">
        <v>776</v>
      </c>
      <c r="D80" t="s">
        <v>777</v>
      </c>
      <c r="E80" t="s">
        <v>778</v>
      </c>
      <c r="F80" t="s">
        <v>779</v>
      </c>
    </row>
    <row r="81" spans="1:6" x14ac:dyDescent="0.3">
      <c r="A81" t="s">
        <v>1066</v>
      </c>
      <c r="B81">
        <v>6</v>
      </c>
      <c r="C81" t="s">
        <v>1067</v>
      </c>
      <c r="D81" t="s">
        <v>1068</v>
      </c>
      <c r="E81" t="s">
        <v>1069</v>
      </c>
      <c r="F81" t="s">
        <v>1070</v>
      </c>
    </row>
    <row r="82" spans="1:6" x14ac:dyDescent="0.3">
      <c r="A82" t="s">
        <v>851</v>
      </c>
      <c r="B82">
        <v>0</v>
      </c>
      <c r="C82" t="s">
        <v>852</v>
      </c>
      <c r="D82" t="s">
        <v>853</v>
      </c>
      <c r="E82" t="s">
        <v>25</v>
      </c>
      <c r="F82" t="s">
        <v>854</v>
      </c>
    </row>
    <row r="83" spans="1:6" x14ac:dyDescent="0.3">
      <c r="A83" t="s">
        <v>1499</v>
      </c>
      <c r="B83">
        <v>0</v>
      </c>
      <c r="C83" t="s">
        <v>1500</v>
      </c>
      <c r="D83" t="s">
        <v>1501</v>
      </c>
      <c r="E83" t="s">
        <v>25</v>
      </c>
      <c r="F83" t="s">
        <v>1502</v>
      </c>
    </row>
    <row r="84" spans="1:6" x14ac:dyDescent="0.3">
      <c r="A84" t="s">
        <v>930</v>
      </c>
      <c r="B84">
        <v>0</v>
      </c>
      <c r="C84" t="s">
        <v>931</v>
      </c>
      <c r="D84" t="s">
        <v>932</v>
      </c>
      <c r="E84" t="s">
        <v>25</v>
      </c>
      <c r="F84" t="s">
        <v>933</v>
      </c>
    </row>
    <row r="85" spans="1:6" x14ac:dyDescent="0.3">
      <c r="A85" t="s">
        <v>1166</v>
      </c>
      <c r="B85">
        <v>6</v>
      </c>
      <c r="C85" t="s">
        <v>1167</v>
      </c>
      <c r="D85" t="s">
        <v>1168</v>
      </c>
      <c r="E85" t="s">
        <v>1169</v>
      </c>
      <c r="F85" t="s">
        <v>1170</v>
      </c>
    </row>
    <row r="86" spans="1:6" x14ac:dyDescent="0.3">
      <c r="A86" t="s">
        <v>1426</v>
      </c>
      <c r="B86">
        <v>0</v>
      </c>
      <c r="C86" t="s">
        <v>1427</v>
      </c>
      <c r="D86" t="s">
        <v>1428</v>
      </c>
      <c r="E86" t="s">
        <v>25</v>
      </c>
      <c r="F86" t="s">
        <v>1429</v>
      </c>
    </row>
    <row r="87" spans="1:6" x14ac:dyDescent="0.3">
      <c r="A87" t="s">
        <v>1379</v>
      </c>
      <c r="B87">
        <v>6</v>
      </c>
      <c r="C87" t="s">
        <v>1380</v>
      </c>
      <c r="D87" t="s">
        <v>1381</v>
      </c>
      <c r="E87" t="s">
        <v>1382</v>
      </c>
      <c r="F87" t="s">
        <v>1383</v>
      </c>
    </row>
    <row r="88" spans="1:6" x14ac:dyDescent="0.3">
      <c r="A88" t="s">
        <v>1232</v>
      </c>
      <c r="B88">
        <v>6</v>
      </c>
      <c r="C88" t="s">
        <v>1233</v>
      </c>
      <c r="D88" t="s">
        <v>1234</v>
      </c>
      <c r="E88" t="s">
        <v>1235</v>
      </c>
      <c r="F88" t="s">
        <v>1236</v>
      </c>
    </row>
    <row r="89" spans="1:6" x14ac:dyDescent="0.3">
      <c r="A89" t="s">
        <v>1210</v>
      </c>
      <c r="B89">
        <v>0</v>
      </c>
      <c r="C89" t="s">
        <v>1211</v>
      </c>
      <c r="D89" t="s">
        <v>1212</v>
      </c>
      <c r="E89" t="s">
        <v>25</v>
      </c>
      <c r="F89" t="s">
        <v>1213</v>
      </c>
    </row>
    <row r="90" spans="1:6" x14ac:dyDescent="0.3">
      <c r="A90" t="s">
        <v>1309</v>
      </c>
      <c r="B90">
        <v>7</v>
      </c>
      <c r="C90" t="s">
        <v>1310</v>
      </c>
      <c r="D90" t="s">
        <v>1311</v>
      </c>
      <c r="E90" t="s">
        <v>1312</v>
      </c>
      <c r="F90" t="s">
        <v>1313</v>
      </c>
    </row>
    <row r="91" spans="1:6" x14ac:dyDescent="0.3">
      <c r="A91" t="s">
        <v>655</v>
      </c>
      <c r="B91">
        <v>0</v>
      </c>
      <c r="C91" t="s">
        <v>656</v>
      </c>
      <c r="D91" t="s">
        <v>25</v>
      </c>
      <c r="E91" t="s">
        <v>25</v>
      </c>
      <c r="F91" t="s">
        <v>657</v>
      </c>
    </row>
    <row r="92" spans="1:6" x14ac:dyDescent="0.3">
      <c r="A92" t="s">
        <v>1259</v>
      </c>
      <c r="B92">
        <v>7</v>
      </c>
      <c r="C92" t="s">
        <v>1260</v>
      </c>
      <c r="D92" t="s">
        <v>1261</v>
      </c>
      <c r="E92" t="s">
        <v>1262</v>
      </c>
      <c r="F92" t="s">
        <v>1263</v>
      </c>
    </row>
    <row r="93" spans="1:6" x14ac:dyDescent="0.3">
      <c r="A93" t="s">
        <v>1296</v>
      </c>
      <c r="B93">
        <v>0</v>
      </c>
      <c r="C93" t="s">
        <v>1297</v>
      </c>
      <c r="D93" t="s">
        <v>1298</v>
      </c>
      <c r="E93" t="s">
        <v>25</v>
      </c>
      <c r="F93" t="s">
        <v>1299</v>
      </c>
    </row>
    <row r="94" spans="1:6" x14ac:dyDescent="0.3">
      <c r="A94" t="s">
        <v>1090</v>
      </c>
      <c r="B94">
        <v>8</v>
      </c>
      <c r="C94" t="s">
        <v>1091</v>
      </c>
      <c r="D94" t="s">
        <v>1092</v>
      </c>
      <c r="E94" t="s">
        <v>1093</v>
      </c>
      <c r="F94" t="s">
        <v>1094</v>
      </c>
    </row>
    <row r="95" spans="1:6" x14ac:dyDescent="0.3">
      <c r="A95" t="s">
        <v>784</v>
      </c>
      <c r="B95">
        <v>0</v>
      </c>
      <c r="C95" t="s">
        <v>785</v>
      </c>
      <c r="D95" t="s">
        <v>786</v>
      </c>
      <c r="E95" t="s">
        <v>25</v>
      </c>
      <c r="F95" t="s">
        <v>787</v>
      </c>
    </row>
    <row r="96" spans="1:6" x14ac:dyDescent="0.3">
      <c r="A96" t="s">
        <v>973</v>
      </c>
      <c r="B96">
        <v>0</v>
      </c>
      <c r="C96" t="s">
        <v>974</v>
      </c>
      <c r="D96" t="s">
        <v>975</v>
      </c>
      <c r="E96" t="s">
        <v>25</v>
      </c>
      <c r="F96" t="s">
        <v>976</v>
      </c>
    </row>
    <row r="97" spans="1:6" x14ac:dyDescent="0.3">
      <c r="A97" t="s">
        <v>600</v>
      </c>
      <c r="B97">
        <v>0</v>
      </c>
      <c r="C97" t="s">
        <v>601</v>
      </c>
      <c r="D97" t="s">
        <v>602</v>
      </c>
      <c r="E97" t="s">
        <v>25</v>
      </c>
      <c r="F97" t="s">
        <v>603</v>
      </c>
    </row>
    <row r="98" spans="1:6" x14ac:dyDescent="0.3">
      <c r="A98" t="s">
        <v>1477</v>
      </c>
      <c r="B98">
        <v>0</v>
      </c>
      <c r="C98" t="s">
        <v>1478</v>
      </c>
      <c r="D98" t="s">
        <v>1479</v>
      </c>
      <c r="E98" t="s">
        <v>25</v>
      </c>
      <c r="F98" t="s">
        <v>1480</v>
      </c>
    </row>
    <row r="99" spans="1:6" x14ac:dyDescent="0.3">
      <c r="A99" t="s">
        <v>1370</v>
      </c>
      <c r="B99">
        <v>0</v>
      </c>
      <c r="C99" t="s">
        <v>1371</v>
      </c>
      <c r="D99" t="s">
        <v>1372</v>
      </c>
      <c r="E99" t="s">
        <v>25</v>
      </c>
      <c r="F99" t="s">
        <v>1373</v>
      </c>
    </row>
    <row r="100" spans="1:6" x14ac:dyDescent="0.3">
      <c r="A100" t="s">
        <v>926</v>
      </c>
      <c r="B100">
        <v>0</v>
      </c>
      <c r="C100" t="s">
        <v>927</v>
      </c>
      <c r="D100" t="s">
        <v>928</v>
      </c>
      <c r="E100" t="s">
        <v>25</v>
      </c>
      <c r="F100" t="s">
        <v>929</v>
      </c>
    </row>
    <row r="101" spans="1:6" x14ac:dyDescent="0.3">
      <c r="A101" t="s">
        <v>1406</v>
      </c>
      <c r="B101">
        <v>0</v>
      </c>
      <c r="C101" t="s">
        <v>1407</v>
      </c>
      <c r="D101" t="s">
        <v>1408</v>
      </c>
      <c r="E101" t="s">
        <v>25</v>
      </c>
      <c r="F101" t="s">
        <v>1409</v>
      </c>
    </row>
    <row r="102" spans="1:6" x14ac:dyDescent="0.3">
      <c r="A102" t="s">
        <v>802</v>
      </c>
      <c r="B102">
        <v>0</v>
      </c>
      <c r="C102" t="s">
        <v>803</v>
      </c>
      <c r="D102" t="s">
        <v>804</v>
      </c>
      <c r="E102" t="s">
        <v>25</v>
      </c>
      <c r="F102" t="s">
        <v>805</v>
      </c>
    </row>
    <row r="103" spans="1:6" x14ac:dyDescent="0.3">
      <c r="A103" t="s">
        <v>833</v>
      </c>
      <c r="B103">
        <v>0</v>
      </c>
      <c r="C103" t="s">
        <v>834</v>
      </c>
      <c r="D103" t="s">
        <v>835</v>
      </c>
      <c r="E103" t="s">
        <v>25</v>
      </c>
      <c r="F103" t="s">
        <v>836</v>
      </c>
    </row>
    <row r="104" spans="1:6" x14ac:dyDescent="0.3">
      <c r="A104" t="s">
        <v>1030</v>
      </c>
      <c r="B104">
        <v>0</v>
      </c>
      <c r="C104" t="s">
        <v>1031</v>
      </c>
      <c r="D104" t="s">
        <v>1032</v>
      </c>
      <c r="E104" t="s">
        <v>25</v>
      </c>
      <c r="F104" t="s">
        <v>1033</v>
      </c>
    </row>
    <row r="105" spans="1:6" x14ac:dyDescent="0.3">
      <c r="A105" t="s">
        <v>1206</v>
      </c>
      <c r="B105">
        <v>0</v>
      </c>
      <c r="C105" t="s">
        <v>1207</v>
      </c>
      <c r="D105" t="s">
        <v>1208</v>
      </c>
      <c r="E105" t="s">
        <v>25</v>
      </c>
      <c r="F105" t="s">
        <v>1209</v>
      </c>
    </row>
    <row r="106" spans="1:6" x14ac:dyDescent="0.3">
      <c r="A106" t="s">
        <v>761</v>
      </c>
      <c r="B106">
        <v>7</v>
      </c>
      <c r="C106" t="s">
        <v>762</v>
      </c>
      <c r="D106" t="s">
        <v>763</v>
      </c>
      <c r="E106" t="s">
        <v>764</v>
      </c>
      <c r="F106" t="s">
        <v>765</v>
      </c>
    </row>
    <row r="107" spans="1:6" x14ac:dyDescent="0.3">
      <c r="A107" t="s">
        <v>737</v>
      </c>
      <c r="B107">
        <v>4</v>
      </c>
      <c r="C107" t="s">
        <v>738</v>
      </c>
      <c r="D107" t="s">
        <v>739</v>
      </c>
      <c r="E107" t="s">
        <v>740</v>
      </c>
      <c r="F107" t="s">
        <v>741</v>
      </c>
    </row>
    <row r="108" spans="1:6" x14ac:dyDescent="0.3">
      <c r="A108" t="s">
        <v>981</v>
      </c>
      <c r="B108">
        <v>5</v>
      </c>
      <c r="C108" t="s">
        <v>982</v>
      </c>
      <c r="D108" t="s">
        <v>983</v>
      </c>
      <c r="E108" t="s">
        <v>984</v>
      </c>
      <c r="F108" t="s">
        <v>985</v>
      </c>
    </row>
    <row r="109" spans="1:6" x14ac:dyDescent="0.3">
      <c r="A109" t="s">
        <v>1468</v>
      </c>
      <c r="B109">
        <v>8</v>
      </c>
      <c r="C109" t="s">
        <v>1469</v>
      </c>
      <c r="D109" t="s">
        <v>1470</v>
      </c>
      <c r="E109" t="s">
        <v>1471</v>
      </c>
      <c r="F109" t="s">
        <v>1472</v>
      </c>
    </row>
    <row r="110" spans="1:6" x14ac:dyDescent="0.3">
      <c r="A110" t="s">
        <v>551</v>
      </c>
      <c r="B110">
        <v>0</v>
      </c>
      <c r="C110" t="s">
        <v>552</v>
      </c>
      <c r="D110" t="s">
        <v>553</v>
      </c>
      <c r="E110" t="s">
        <v>25</v>
      </c>
      <c r="F110" t="s">
        <v>554</v>
      </c>
    </row>
    <row r="111" spans="1:6" x14ac:dyDescent="0.3">
      <c r="A111" t="s">
        <v>1361</v>
      </c>
      <c r="B111">
        <v>0</v>
      </c>
      <c r="C111" t="s">
        <v>1362</v>
      </c>
      <c r="D111" t="s">
        <v>1363</v>
      </c>
      <c r="E111" t="s">
        <v>25</v>
      </c>
      <c r="F111" t="s">
        <v>1364</v>
      </c>
    </row>
    <row r="112" spans="1:6" x14ac:dyDescent="0.3">
      <c r="A112" t="s">
        <v>798</v>
      </c>
      <c r="B112">
        <v>0</v>
      </c>
      <c r="C112" t="s">
        <v>799</v>
      </c>
      <c r="D112" t="s">
        <v>800</v>
      </c>
      <c r="E112" t="s">
        <v>25</v>
      </c>
      <c r="F112" t="s">
        <v>801</v>
      </c>
    </row>
    <row r="113" spans="1:6" x14ac:dyDescent="0.3">
      <c r="A113" t="s">
        <v>1410</v>
      </c>
      <c r="B113">
        <v>0</v>
      </c>
      <c r="C113" t="s">
        <v>1411</v>
      </c>
      <c r="D113" t="s">
        <v>1412</v>
      </c>
      <c r="E113" t="s">
        <v>25</v>
      </c>
      <c r="F113" t="s">
        <v>1413</v>
      </c>
    </row>
    <row r="114" spans="1:6" x14ac:dyDescent="0.3">
      <c r="A114" t="s">
        <v>819</v>
      </c>
      <c r="B114">
        <v>4</v>
      </c>
      <c r="C114" t="s">
        <v>820</v>
      </c>
      <c r="D114" t="s">
        <v>821</v>
      </c>
      <c r="E114" t="s">
        <v>822</v>
      </c>
      <c r="F114" t="s">
        <v>823</v>
      </c>
    </row>
    <row r="115" spans="1:6" x14ac:dyDescent="0.3">
      <c r="A115" t="s">
        <v>641</v>
      </c>
      <c r="B115">
        <v>5</v>
      </c>
      <c r="C115" t="s">
        <v>642</v>
      </c>
      <c r="D115" t="s">
        <v>643</v>
      </c>
      <c r="E115" t="s">
        <v>644</v>
      </c>
      <c r="F115" t="s">
        <v>645</v>
      </c>
    </row>
    <row r="116" spans="1:6" x14ac:dyDescent="0.3">
      <c r="A116" t="s">
        <v>596</v>
      </c>
      <c r="B116">
        <v>0</v>
      </c>
      <c r="C116" t="s">
        <v>597</v>
      </c>
      <c r="D116" t="s">
        <v>598</v>
      </c>
      <c r="E116" t="s">
        <v>25</v>
      </c>
      <c r="F116" t="s">
        <v>599</v>
      </c>
    </row>
    <row r="117" spans="1:6" x14ac:dyDescent="0.3">
      <c r="A117" t="s">
        <v>1071</v>
      </c>
      <c r="B117">
        <v>0</v>
      </c>
      <c r="C117" t="s">
        <v>1072</v>
      </c>
      <c r="D117" t="s">
        <v>1073</v>
      </c>
      <c r="E117" t="s">
        <v>25</v>
      </c>
      <c r="F117" t="s">
        <v>1074</v>
      </c>
    </row>
    <row r="118" spans="1:6" x14ac:dyDescent="0.3">
      <c r="A118" t="s">
        <v>1171</v>
      </c>
      <c r="B118">
        <v>0</v>
      </c>
      <c r="C118" t="s">
        <v>1172</v>
      </c>
      <c r="D118" t="s">
        <v>1173</v>
      </c>
      <c r="E118" t="s">
        <v>25</v>
      </c>
      <c r="F118" t="s">
        <v>1174</v>
      </c>
    </row>
    <row r="119" spans="1:6" x14ac:dyDescent="0.3">
      <c r="A119" t="s">
        <v>1246</v>
      </c>
      <c r="B119">
        <v>0</v>
      </c>
      <c r="C119" t="s">
        <v>1247</v>
      </c>
      <c r="D119" t="s">
        <v>1248</v>
      </c>
      <c r="E119" t="s">
        <v>25</v>
      </c>
      <c r="F119" t="s">
        <v>1249</v>
      </c>
    </row>
    <row r="120" spans="1:6" x14ac:dyDescent="0.3">
      <c r="A120" t="s">
        <v>869</v>
      </c>
      <c r="B120">
        <v>5</v>
      </c>
      <c r="C120" t="s">
        <v>870</v>
      </c>
      <c r="D120" t="s">
        <v>871</v>
      </c>
      <c r="E120" t="s">
        <v>872</v>
      </c>
      <c r="F120" t="s">
        <v>873</v>
      </c>
    </row>
    <row r="121" spans="1:6" x14ac:dyDescent="0.3">
      <c r="A121" t="s">
        <v>968</v>
      </c>
      <c r="B121">
        <v>5</v>
      </c>
      <c r="C121" t="s">
        <v>969</v>
      </c>
      <c r="D121" t="s">
        <v>970</v>
      </c>
      <c r="E121" t="s">
        <v>971</v>
      </c>
      <c r="F121" t="s">
        <v>972</v>
      </c>
    </row>
    <row r="122" spans="1:6" x14ac:dyDescent="0.3">
      <c r="A122" t="s">
        <v>1043</v>
      </c>
      <c r="B122">
        <v>5</v>
      </c>
      <c r="C122" t="s">
        <v>1044</v>
      </c>
      <c r="D122" t="s">
        <v>1045</v>
      </c>
      <c r="E122" t="s">
        <v>1046</v>
      </c>
      <c r="F122" t="s">
        <v>1047</v>
      </c>
    </row>
    <row r="123" spans="1:6" x14ac:dyDescent="0.3">
      <c r="A123" t="s">
        <v>693</v>
      </c>
      <c r="B123">
        <v>6</v>
      </c>
      <c r="C123" t="s">
        <v>694</v>
      </c>
      <c r="D123" t="s">
        <v>695</v>
      </c>
      <c r="E123" t="s">
        <v>696</v>
      </c>
      <c r="F123" t="s">
        <v>697</v>
      </c>
    </row>
    <row r="124" spans="1:6" x14ac:dyDescent="0.3">
      <c r="A124" t="s">
        <v>1339</v>
      </c>
      <c r="B124">
        <v>0</v>
      </c>
      <c r="C124" t="s">
        <v>1340</v>
      </c>
      <c r="D124" t="s">
        <v>1341</v>
      </c>
      <c r="E124" t="s">
        <v>25</v>
      </c>
      <c r="F124" t="s">
        <v>1342</v>
      </c>
    </row>
    <row r="125" spans="1:6" x14ac:dyDescent="0.3">
      <c r="A125" t="s">
        <v>1052</v>
      </c>
      <c r="B125">
        <v>6</v>
      </c>
      <c r="C125" t="s">
        <v>1053</v>
      </c>
      <c r="D125" t="s">
        <v>1054</v>
      </c>
      <c r="E125" t="s">
        <v>1055</v>
      </c>
      <c r="F125" t="s">
        <v>1056</v>
      </c>
    </row>
    <row r="126" spans="1:6" x14ac:dyDescent="0.3">
      <c r="A126" t="s">
        <v>1113</v>
      </c>
      <c r="B126">
        <v>7</v>
      </c>
      <c r="C126" t="s">
        <v>1114</v>
      </c>
      <c r="D126" t="s">
        <v>1115</v>
      </c>
      <c r="E126" t="s">
        <v>1116</v>
      </c>
      <c r="F126" t="s">
        <v>1117</v>
      </c>
    </row>
    <row r="127" spans="1:6" x14ac:dyDescent="0.3">
      <c r="A127" t="s">
        <v>892</v>
      </c>
      <c r="B127">
        <v>0</v>
      </c>
      <c r="C127" t="s">
        <v>893</v>
      </c>
      <c r="D127" t="s">
        <v>894</v>
      </c>
      <c r="E127" t="s">
        <v>25</v>
      </c>
      <c r="F127" t="s">
        <v>895</v>
      </c>
    </row>
    <row r="128" spans="1:6" x14ac:dyDescent="0.3">
      <c r="A128" t="s">
        <v>668</v>
      </c>
      <c r="B128">
        <v>0</v>
      </c>
      <c r="C128" t="s">
        <v>669</v>
      </c>
      <c r="D128" t="s">
        <v>670</v>
      </c>
      <c r="E128" t="s">
        <v>25</v>
      </c>
      <c r="F128" t="s">
        <v>671</v>
      </c>
    </row>
    <row r="129" spans="1:6" x14ac:dyDescent="0.3">
      <c r="A129" t="s">
        <v>1287</v>
      </c>
      <c r="B129">
        <v>8</v>
      </c>
      <c r="C129" t="s">
        <v>1288</v>
      </c>
      <c r="D129" t="s">
        <v>1289</v>
      </c>
      <c r="E129" t="s">
        <v>1290</v>
      </c>
      <c r="F129" t="s">
        <v>1291</v>
      </c>
    </row>
    <row r="130" spans="1:6" x14ac:dyDescent="0.3">
      <c r="A130" t="s">
        <v>1356</v>
      </c>
      <c r="B130">
        <v>7</v>
      </c>
      <c r="C130" t="s">
        <v>1357</v>
      </c>
      <c r="D130" t="s">
        <v>1358</v>
      </c>
      <c r="E130" t="s">
        <v>1359</v>
      </c>
      <c r="F130" t="s">
        <v>1360</v>
      </c>
    </row>
    <row r="131" spans="1:6" x14ac:dyDescent="0.3">
      <c r="A131" t="s">
        <v>1183</v>
      </c>
      <c r="B131">
        <v>7</v>
      </c>
      <c r="C131" t="s">
        <v>1184</v>
      </c>
      <c r="D131" t="s">
        <v>1185</v>
      </c>
      <c r="E131" t="s">
        <v>1186</v>
      </c>
      <c r="F131" t="s">
        <v>1187</v>
      </c>
    </row>
    <row r="132" spans="1:6" x14ac:dyDescent="0.3">
      <c r="A132" t="s">
        <v>1304</v>
      </c>
      <c r="B132">
        <v>7</v>
      </c>
      <c r="C132" t="s">
        <v>1305</v>
      </c>
      <c r="D132" t="s">
        <v>1306</v>
      </c>
      <c r="E132" t="s">
        <v>1307</v>
      </c>
      <c r="F132" t="s">
        <v>1308</v>
      </c>
    </row>
    <row r="133" spans="1:6" x14ac:dyDescent="0.3">
      <c r="A133" t="s">
        <v>1075</v>
      </c>
      <c r="B133">
        <v>8</v>
      </c>
      <c r="C133" t="s">
        <v>1076</v>
      </c>
      <c r="D133" t="s">
        <v>1077</v>
      </c>
      <c r="E133" t="s">
        <v>1078</v>
      </c>
      <c r="F133" t="s">
        <v>1079</v>
      </c>
    </row>
    <row r="134" spans="1:6" x14ac:dyDescent="0.3">
      <c r="A134" t="s">
        <v>1158</v>
      </c>
      <c r="B134">
        <v>0</v>
      </c>
      <c r="C134" t="s">
        <v>1159</v>
      </c>
      <c r="D134" t="s">
        <v>1160</v>
      </c>
      <c r="E134" t="s">
        <v>25</v>
      </c>
      <c r="F134" t="s">
        <v>1161</v>
      </c>
    </row>
    <row r="135" spans="1:6" x14ac:dyDescent="0.3">
      <c r="A135" t="s">
        <v>698</v>
      </c>
      <c r="B135">
        <v>6</v>
      </c>
      <c r="C135" t="s">
        <v>699</v>
      </c>
      <c r="D135" t="s">
        <v>700</v>
      </c>
      <c r="E135" t="s">
        <v>701</v>
      </c>
      <c r="F135" t="s">
        <v>702</v>
      </c>
    </row>
    <row r="136" spans="1:6" x14ac:dyDescent="0.3">
      <c r="A136" t="s">
        <v>1448</v>
      </c>
      <c r="B136">
        <v>7</v>
      </c>
      <c r="C136" t="s">
        <v>1449</v>
      </c>
      <c r="D136" t="s">
        <v>1450</v>
      </c>
      <c r="E136" t="s">
        <v>1451</v>
      </c>
      <c r="F136" t="s">
        <v>1452</v>
      </c>
    </row>
    <row r="137" spans="1:6" x14ac:dyDescent="0.3">
      <c r="A137" t="s">
        <v>560</v>
      </c>
      <c r="B137">
        <v>5</v>
      </c>
      <c r="C137" t="s">
        <v>561</v>
      </c>
      <c r="D137" t="s">
        <v>562</v>
      </c>
      <c r="E137" t="s">
        <v>563</v>
      </c>
      <c r="F137" t="s">
        <v>564</v>
      </c>
    </row>
    <row r="138" spans="1:6" x14ac:dyDescent="0.3">
      <c r="A138" t="s">
        <v>846</v>
      </c>
      <c r="B138">
        <v>5</v>
      </c>
      <c r="C138" t="s">
        <v>847</v>
      </c>
      <c r="D138" t="s">
        <v>848</v>
      </c>
      <c r="E138" t="s">
        <v>849</v>
      </c>
      <c r="F138" t="s">
        <v>850</v>
      </c>
    </row>
    <row r="139" spans="1:6" x14ac:dyDescent="0.3">
      <c r="A139" t="s">
        <v>841</v>
      </c>
      <c r="B139">
        <v>7</v>
      </c>
      <c r="C139" t="s">
        <v>842</v>
      </c>
      <c r="D139" t="s">
        <v>843</v>
      </c>
      <c r="E139" t="s">
        <v>844</v>
      </c>
      <c r="F139" t="s">
        <v>845</v>
      </c>
    </row>
    <row r="140" spans="1:6" x14ac:dyDescent="0.3">
      <c r="A140" t="s">
        <v>947</v>
      </c>
      <c r="B140">
        <v>7</v>
      </c>
      <c r="C140" t="s">
        <v>948</v>
      </c>
      <c r="D140" t="s">
        <v>949</v>
      </c>
      <c r="E140" t="s">
        <v>950</v>
      </c>
      <c r="F140" t="s">
        <v>951</v>
      </c>
    </row>
    <row r="141" spans="1:6" x14ac:dyDescent="0.3">
      <c r="A141" t="s">
        <v>1279</v>
      </c>
      <c r="B141">
        <v>0</v>
      </c>
      <c r="C141" t="s">
        <v>1280</v>
      </c>
      <c r="D141" t="s">
        <v>1281</v>
      </c>
      <c r="E141" t="s">
        <v>25</v>
      </c>
      <c r="F141" t="s">
        <v>1282</v>
      </c>
    </row>
    <row r="142" spans="1:6" x14ac:dyDescent="0.3">
      <c r="A142" t="s">
        <v>718</v>
      </c>
      <c r="B142">
        <v>8</v>
      </c>
      <c r="C142" t="s">
        <v>719</v>
      </c>
      <c r="D142" t="s">
        <v>720</v>
      </c>
      <c r="E142" t="s">
        <v>721</v>
      </c>
      <c r="F142" t="s">
        <v>722</v>
      </c>
    </row>
    <row r="143" spans="1:6" x14ac:dyDescent="0.3">
      <c r="A143" t="s">
        <v>824</v>
      </c>
      <c r="B143">
        <v>6</v>
      </c>
      <c r="C143" t="s">
        <v>825</v>
      </c>
      <c r="D143" t="s">
        <v>826</v>
      </c>
      <c r="E143" t="s">
        <v>827</v>
      </c>
      <c r="F143" t="s">
        <v>828</v>
      </c>
    </row>
    <row r="144" spans="1:6" x14ac:dyDescent="0.3">
      <c r="A144" t="s">
        <v>1136</v>
      </c>
      <c r="B144">
        <v>0</v>
      </c>
      <c r="C144" t="s">
        <v>1137</v>
      </c>
      <c r="D144" t="s">
        <v>1138</v>
      </c>
      <c r="E144" t="s">
        <v>25</v>
      </c>
      <c r="F144" t="s">
        <v>1139</v>
      </c>
    </row>
    <row r="145" spans="1:6" x14ac:dyDescent="0.3">
      <c r="A145" t="s">
        <v>766</v>
      </c>
      <c r="B145">
        <v>5</v>
      </c>
      <c r="C145" t="s">
        <v>767</v>
      </c>
      <c r="D145" t="s">
        <v>768</v>
      </c>
      <c r="E145" t="s">
        <v>769</v>
      </c>
      <c r="F145" t="s">
        <v>770</v>
      </c>
    </row>
    <row r="146" spans="1:6" x14ac:dyDescent="0.3">
      <c r="A146" t="s">
        <v>632</v>
      </c>
      <c r="B146">
        <v>7</v>
      </c>
      <c r="C146" t="s">
        <v>633</v>
      </c>
      <c r="D146" t="s">
        <v>634</v>
      </c>
      <c r="E146" t="s">
        <v>635</v>
      </c>
      <c r="F146" t="s">
        <v>636</v>
      </c>
    </row>
    <row r="147" spans="1:6" x14ac:dyDescent="0.3">
      <c r="A147" t="s">
        <v>751</v>
      </c>
      <c r="B147">
        <v>9</v>
      </c>
      <c r="C147" t="s">
        <v>752</v>
      </c>
      <c r="D147" t="s">
        <v>753</v>
      </c>
      <c r="E147" t="s">
        <v>754</v>
      </c>
      <c r="F147" t="s">
        <v>755</v>
      </c>
    </row>
    <row r="148" spans="1:6" x14ac:dyDescent="0.3">
      <c r="A148" t="s">
        <v>780</v>
      </c>
      <c r="B148">
        <v>0</v>
      </c>
      <c r="C148" t="s">
        <v>781</v>
      </c>
      <c r="D148" t="s">
        <v>782</v>
      </c>
      <c r="E148" t="s">
        <v>25</v>
      </c>
      <c r="F148" t="s">
        <v>783</v>
      </c>
    </row>
    <row r="149" spans="1:6" x14ac:dyDescent="0.3">
      <c r="A149" t="s">
        <v>1003</v>
      </c>
      <c r="B149">
        <v>0</v>
      </c>
      <c r="C149" t="s">
        <v>1004</v>
      </c>
      <c r="D149" t="s">
        <v>1005</v>
      </c>
      <c r="E149" t="s">
        <v>25</v>
      </c>
      <c r="F149" t="s">
        <v>1006</v>
      </c>
    </row>
    <row r="150" spans="1:6" x14ac:dyDescent="0.3">
      <c r="A150" t="s">
        <v>733</v>
      </c>
      <c r="B150">
        <v>0</v>
      </c>
      <c r="C150" t="s">
        <v>734</v>
      </c>
      <c r="D150" t="s">
        <v>735</v>
      </c>
      <c r="E150" t="s">
        <v>25</v>
      </c>
      <c r="F150" t="s">
        <v>736</v>
      </c>
    </row>
    <row r="151" spans="1:6" x14ac:dyDescent="0.3">
      <c r="A151" t="s">
        <v>793</v>
      </c>
      <c r="B151">
        <v>4</v>
      </c>
      <c r="C151" t="s">
        <v>794</v>
      </c>
      <c r="D151" t="s">
        <v>795</v>
      </c>
      <c r="E151" t="s">
        <v>796</v>
      </c>
      <c r="F151" t="s">
        <v>797</v>
      </c>
    </row>
    <row r="152" spans="1:6" x14ac:dyDescent="0.3">
      <c r="A152" t="s">
        <v>956</v>
      </c>
      <c r="B152">
        <v>0</v>
      </c>
      <c r="C152" t="s">
        <v>957</v>
      </c>
      <c r="D152" t="s">
        <v>25</v>
      </c>
      <c r="E152" t="s">
        <v>25</v>
      </c>
      <c r="F152" t="s">
        <v>958</v>
      </c>
    </row>
    <row r="153" spans="1:6" x14ac:dyDescent="0.3">
      <c r="A153" t="s">
        <v>1439</v>
      </c>
      <c r="B153">
        <v>6</v>
      </c>
      <c r="C153" t="s">
        <v>1440</v>
      </c>
      <c r="D153" t="s">
        <v>1441</v>
      </c>
      <c r="E153" t="s">
        <v>1442</v>
      </c>
      <c r="F153" t="s">
        <v>1443</v>
      </c>
    </row>
    <row r="154" spans="1:6" x14ac:dyDescent="0.3">
      <c r="A154" t="s">
        <v>1323</v>
      </c>
      <c r="B154">
        <v>0</v>
      </c>
      <c r="C154" t="s">
        <v>1324</v>
      </c>
      <c r="D154" t="s">
        <v>1325</v>
      </c>
      <c r="E154" t="s">
        <v>25</v>
      </c>
      <c r="F154" t="s">
        <v>1326</v>
      </c>
    </row>
    <row r="155" spans="1:6" x14ac:dyDescent="0.3">
      <c r="A155" t="s">
        <v>1508</v>
      </c>
      <c r="B155">
        <v>0</v>
      </c>
      <c r="C155" t="s">
        <v>1509</v>
      </c>
      <c r="D155" t="s">
        <v>1510</v>
      </c>
      <c r="E155" t="s">
        <v>25</v>
      </c>
      <c r="F155" t="s">
        <v>1511</v>
      </c>
    </row>
    <row r="156" spans="1:6" x14ac:dyDescent="0.3">
      <c r="A156" t="s">
        <v>1331</v>
      </c>
      <c r="B156">
        <v>0</v>
      </c>
      <c r="C156" t="s">
        <v>1332</v>
      </c>
      <c r="D156" t="s">
        <v>1333</v>
      </c>
      <c r="E156" t="s">
        <v>25</v>
      </c>
      <c r="F156" t="s">
        <v>1334</v>
      </c>
    </row>
    <row r="157" spans="1:6" x14ac:dyDescent="0.3">
      <c r="A157" t="s">
        <v>999</v>
      </c>
      <c r="B157">
        <v>0</v>
      </c>
      <c r="C157" t="s">
        <v>1000</v>
      </c>
      <c r="D157" t="s">
        <v>1001</v>
      </c>
      <c r="E157" t="s">
        <v>25</v>
      </c>
      <c r="F157" t="s">
        <v>1002</v>
      </c>
    </row>
    <row r="158" spans="1:6" x14ac:dyDescent="0.3">
      <c r="A158" t="s">
        <v>1520</v>
      </c>
      <c r="B158">
        <v>0</v>
      </c>
      <c r="C158" t="s">
        <v>1521</v>
      </c>
      <c r="D158" t="s">
        <v>1522</v>
      </c>
      <c r="E158" t="s">
        <v>25</v>
      </c>
      <c r="F158" t="s">
        <v>1523</v>
      </c>
    </row>
    <row r="159" spans="1:6" x14ac:dyDescent="0.3">
      <c r="A159" t="s">
        <v>608</v>
      </c>
      <c r="B159">
        <v>6</v>
      </c>
      <c r="C159" t="s">
        <v>609</v>
      </c>
      <c r="D159" t="s">
        <v>610</v>
      </c>
      <c r="E159" t="s">
        <v>611</v>
      </c>
      <c r="F159" t="s">
        <v>612</v>
      </c>
    </row>
    <row r="160" spans="1:6" x14ac:dyDescent="0.3">
      <c r="A160" t="s">
        <v>588</v>
      </c>
      <c r="B160">
        <v>0</v>
      </c>
      <c r="C160" t="s">
        <v>589</v>
      </c>
      <c r="D160" t="s">
        <v>590</v>
      </c>
      <c r="E160" t="s">
        <v>25</v>
      </c>
      <c r="F160" t="s">
        <v>591</v>
      </c>
    </row>
    <row r="161" spans="1:6" x14ac:dyDescent="0.3">
      <c r="A161" t="s">
        <v>878</v>
      </c>
      <c r="B161">
        <v>4</v>
      </c>
      <c r="C161" t="s">
        <v>879</v>
      </c>
      <c r="D161" t="s">
        <v>880</v>
      </c>
      <c r="E161" t="s">
        <v>881</v>
      </c>
      <c r="F161" t="s">
        <v>882</v>
      </c>
    </row>
    <row r="162" spans="1:6" x14ac:dyDescent="0.3">
      <c r="A162" t="s">
        <v>1274</v>
      </c>
      <c r="B162">
        <v>5</v>
      </c>
      <c r="C162" t="s">
        <v>1275</v>
      </c>
      <c r="D162" t="s">
        <v>1276</v>
      </c>
      <c r="E162" t="s">
        <v>1277</v>
      </c>
      <c r="F162" t="s">
        <v>1278</v>
      </c>
    </row>
    <row r="163" spans="1:6" x14ac:dyDescent="0.3">
      <c r="A163" t="s">
        <v>680</v>
      </c>
      <c r="B163">
        <v>0</v>
      </c>
      <c r="C163" t="s">
        <v>681</v>
      </c>
      <c r="D163" t="s">
        <v>682</v>
      </c>
      <c r="E163" t="s">
        <v>25</v>
      </c>
      <c r="F163" t="s">
        <v>683</v>
      </c>
    </row>
    <row r="164" spans="1:6" x14ac:dyDescent="0.3">
      <c r="A164" t="s">
        <v>613</v>
      </c>
      <c r="B164">
        <v>5</v>
      </c>
      <c r="C164" t="s">
        <v>614</v>
      </c>
      <c r="D164" t="s">
        <v>615</v>
      </c>
      <c r="E164" t="s">
        <v>616</v>
      </c>
      <c r="F164" t="s">
        <v>617</v>
      </c>
    </row>
    <row r="165" spans="1:6" x14ac:dyDescent="0.3">
      <c r="A165" t="s">
        <v>1453</v>
      </c>
      <c r="B165">
        <v>8</v>
      </c>
      <c r="C165" t="s">
        <v>1454</v>
      </c>
      <c r="D165" t="s">
        <v>1455</v>
      </c>
      <c r="E165" t="s">
        <v>1456</v>
      </c>
      <c r="F165" t="s">
        <v>1457</v>
      </c>
    </row>
    <row r="166" spans="1:6" x14ac:dyDescent="0.3">
      <c r="A166" t="s">
        <v>904</v>
      </c>
      <c r="B166">
        <v>4</v>
      </c>
      <c r="C166" t="s">
        <v>905</v>
      </c>
      <c r="D166" t="s">
        <v>906</v>
      </c>
      <c r="E166" t="s">
        <v>907</v>
      </c>
      <c r="F166" t="s">
        <v>908</v>
      </c>
    </row>
    <row r="167" spans="1:6" x14ac:dyDescent="0.3">
      <c r="A167" t="s">
        <v>1397</v>
      </c>
      <c r="B167">
        <v>5</v>
      </c>
      <c r="C167" t="s">
        <v>1398</v>
      </c>
      <c r="D167" t="s">
        <v>1399</v>
      </c>
      <c r="E167" t="s">
        <v>1400</v>
      </c>
      <c r="F167" t="s">
        <v>1401</v>
      </c>
    </row>
    <row r="168" spans="1:6" x14ac:dyDescent="0.3">
      <c r="A168" t="s">
        <v>1430</v>
      </c>
      <c r="B168">
        <v>4</v>
      </c>
      <c r="C168" t="s">
        <v>1431</v>
      </c>
      <c r="D168" t="s">
        <v>1432</v>
      </c>
      <c r="E168" t="s">
        <v>1433</v>
      </c>
      <c r="F168" t="s">
        <v>1434</v>
      </c>
    </row>
    <row r="169" spans="1:6" x14ac:dyDescent="0.3">
      <c r="A169" t="s">
        <v>1283</v>
      </c>
      <c r="B169">
        <v>0</v>
      </c>
      <c r="C169" t="s">
        <v>1284</v>
      </c>
      <c r="D169" t="s">
        <v>1285</v>
      </c>
      <c r="E169" t="s">
        <v>25</v>
      </c>
      <c r="F169" t="s">
        <v>1286</v>
      </c>
    </row>
    <row r="170" spans="1:6" x14ac:dyDescent="0.3">
      <c r="A170" t="s">
        <v>565</v>
      </c>
      <c r="B170">
        <v>0</v>
      </c>
      <c r="C170" t="s">
        <v>566</v>
      </c>
      <c r="D170" t="s">
        <v>567</v>
      </c>
      <c r="E170" t="s">
        <v>25</v>
      </c>
      <c r="F170" t="s">
        <v>568</v>
      </c>
    </row>
    <row r="171" spans="1:6" x14ac:dyDescent="0.3">
      <c r="A171" t="s">
        <v>909</v>
      </c>
      <c r="B171">
        <v>4</v>
      </c>
      <c r="C171" t="s">
        <v>910</v>
      </c>
      <c r="D171" t="s">
        <v>911</v>
      </c>
      <c r="E171" t="s">
        <v>912</v>
      </c>
      <c r="F171" t="s">
        <v>913</v>
      </c>
    </row>
    <row r="172" spans="1:6" x14ac:dyDescent="0.3">
      <c r="A172" t="s">
        <v>592</v>
      </c>
      <c r="B172">
        <v>0</v>
      </c>
      <c r="C172" t="s">
        <v>593</v>
      </c>
      <c r="D172" t="s">
        <v>594</v>
      </c>
      <c r="E172" t="s">
        <v>25</v>
      </c>
      <c r="F172" t="s">
        <v>595</v>
      </c>
    </row>
    <row r="173" spans="1:6" x14ac:dyDescent="0.3">
      <c r="A173" t="s">
        <v>1241</v>
      </c>
      <c r="B173">
        <v>5</v>
      </c>
      <c r="C173" t="s">
        <v>1242</v>
      </c>
      <c r="D173" t="s">
        <v>1243</v>
      </c>
      <c r="E173" t="s">
        <v>1244</v>
      </c>
      <c r="F173" t="s">
        <v>1245</v>
      </c>
    </row>
    <row r="174" spans="1:6" x14ac:dyDescent="0.3">
      <c r="A174" t="s">
        <v>1223</v>
      </c>
      <c r="B174">
        <v>5</v>
      </c>
      <c r="C174" t="s">
        <v>1224</v>
      </c>
      <c r="D174" t="s">
        <v>1225</v>
      </c>
      <c r="E174" t="s">
        <v>1226</v>
      </c>
      <c r="F174" t="s">
        <v>1227</v>
      </c>
    </row>
    <row r="175" spans="1:6" x14ac:dyDescent="0.3">
      <c r="A175" t="s">
        <v>1503</v>
      </c>
      <c r="B175">
        <v>6</v>
      </c>
      <c r="C175" t="s">
        <v>1504</v>
      </c>
      <c r="D175" t="s">
        <v>1505</v>
      </c>
      <c r="E175" t="s">
        <v>1506</v>
      </c>
      <c r="F175" t="s">
        <v>1507</v>
      </c>
    </row>
    <row r="176" spans="1:6" x14ac:dyDescent="0.3">
      <c r="A176" t="s">
        <v>1085</v>
      </c>
      <c r="B176">
        <v>7</v>
      </c>
      <c r="C176" t="s">
        <v>1086</v>
      </c>
      <c r="D176" t="s">
        <v>1087</v>
      </c>
      <c r="E176" t="s">
        <v>1088</v>
      </c>
      <c r="F176" t="s">
        <v>1089</v>
      </c>
    </row>
    <row r="177" spans="1:6" x14ac:dyDescent="0.3">
      <c r="A177" t="s">
        <v>1494</v>
      </c>
      <c r="B177">
        <v>7</v>
      </c>
      <c r="C177" t="s">
        <v>1495</v>
      </c>
      <c r="D177" t="s">
        <v>1496</v>
      </c>
      <c r="E177" t="s">
        <v>1497</v>
      </c>
      <c r="F177" t="s">
        <v>1498</v>
      </c>
    </row>
    <row r="178" spans="1:6" x14ac:dyDescent="0.3">
      <c r="A178" t="s">
        <v>555</v>
      </c>
      <c r="B178">
        <v>5</v>
      </c>
      <c r="C178" t="s">
        <v>556</v>
      </c>
      <c r="D178" t="s">
        <v>557</v>
      </c>
      <c r="E178" t="s">
        <v>558</v>
      </c>
      <c r="F178" t="s">
        <v>559</v>
      </c>
    </row>
    <row r="179" spans="1:6" x14ac:dyDescent="0.3">
      <c r="A179" t="s">
        <v>1057</v>
      </c>
      <c r="B179">
        <v>4</v>
      </c>
      <c r="C179" t="s">
        <v>1058</v>
      </c>
      <c r="D179" t="s">
        <v>1059</v>
      </c>
      <c r="E179" t="s">
        <v>1060</v>
      </c>
      <c r="F179" t="s">
        <v>1061</v>
      </c>
    </row>
    <row r="180" spans="1:6" x14ac:dyDescent="0.3">
      <c r="A180" t="s">
        <v>1131</v>
      </c>
      <c r="B180">
        <v>8</v>
      </c>
      <c r="C180" t="s">
        <v>1132</v>
      </c>
      <c r="D180" t="s">
        <v>1133</v>
      </c>
      <c r="E180" t="s">
        <v>1134</v>
      </c>
      <c r="F180" t="s">
        <v>1135</v>
      </c>
    </row>
    <row r="181" spans="1:6" x14ac:dyDescent="0.3">
      <c r="A181" t="s">
        <v>618</v>
      </c>
      <c r="B181">
        <v>7</v>
      </c>
      <c r="C181" t="s">
        <v>619</v>
      </c>
      <c r="D181" t="s">
        <v>620</v>
      </c>
      <c r="E181" t="s">
        <v>621</v>
      </c>
      <c r="F181" t="s">
        <v>622</v>
      </c>
    </row>
    <row r="182" spans="1:6" x14ac:dyDescent="0.3">
      <c r="A182" t="s">
        <v>1255</v>
      </c>
      <c r="B182">
        <v>0</v>
      </c>
      <c r="C182" t="s">
        <v>1256</v>
      </c>
      <c r="D182" t="s">
        <v>1257</v>
      </c>
      <c r="E182" t="s">
        <v>25</v>
      </c>
      <c r="F182" t="s">
        <v>1258</v>
      </c>
    </row>
    <row r="183" spans="1:6" x14ac:dyDescent="0.3">
      <c r="A183" t="s">
        <v>584</v>
      </c>
      <c r="B183">
        <v>0</v>
      </c>
      <c r="C183" t="s">
        <v>585</v>
      </c>
      <c r="D183" t="s">
        <v>586</v>
      </c>
      <c r="E183" t="s">
        <v>25</v>
      </c>
      <c r="F183" t="s">
        <v>587</v>
      </c>
    </row>
    <row r="184" spans="1:6" x14ac:dyDescent="0.3">
      <c r="A184" t="s">
        <v>1214</v>
      </c>
      <c r="B184">
        <v>0</v>
      </c>
      <c r="C184" t="s">
        <v>1215</v>
      </c>
      <c r="D184" t="s">
        <v>1216</v>
      </c>
      <c r="E184" t="s">
        <v>25</v>
      </c>
      <c r="F184" t="s">
        <v>1217</v>
      </c>
    </row>
    <row r="185" spans="1:6" x14ac:dyDescent="0.3">
      <c r="A185" t="s">
        <v>1388</v>
      </c>
      <c r="B185">
        <v>6</v>
      </c>
      <c r="C185" t="s">
        <v>1389</v>
      </c>
      <c r="D185" t="s">
        <v>1390</v>
      </c>
      <c r="E185" t="s">
        <v>1391</v>
      </c>
      <c r="F185" t="s">
        <v>1392</v>
      </c>
    </row>
    <row r="186" spans="1:6" x14ac:dyDescent="0.3">
      <c r="A186" t="s">
        <v>1418</v>
      </c>
      <c r="B186">
        <v>0</v>
      </c>
      <c r="C186" t="s">
        <v>1419</v>
      </c>
      <c r="D186" t="s">
        <v>1420</v>
      </c>
      <c r="E186" t="s">
        <v>25</v>
      </c>
      <c r="F186" t="s">
        <v>1421</v>
      </c>
    </row>
    <row r="187" spans="1:6" x14ac:dyDescent="0.3">
      <c r="A187" t="s">
        <v>1191</v>
      </c>
      <c r="B187">
        <v>6</v>
      </c>
      <c r="C187" t="s">
        <v>1192</v>
      </c>
      <c r="D187" t="s">
        <v>1193</v>
      </c>
      <c r="E187" t="s">
        <v>1194</v>
      </c>
      <c r="F187" t="s">
        <v>1195</v>
      </c>
    </row>
    <row r="188" spans="1:6" x14ac:dyDescent="0.3">
      <c r="A188" t="s">
        <v>1201</v>
      </c>
      <c r="B188">
        <v>6</v>
      </c>
      <c r="C188" t="s">
        <v>1202</v>
      </c>
      <c r="D188" t="s">
        <v>1203</v>
      </c>
      <c r="E188" t="s">
        <v>1204</v>
      </c>
      <c r="F188" t="s">
        <v>1205</v>
      </c>
    </row>
    <row r="189" spans="1:6" x14ac:dyDescent="0.3">
      <c r="A189" t="s">
        <v>1179</v>
      </c>
      <c r="B189">
        <v>0</v>
      </c>
      <c r="C189" t="s">
        <v>1180</v>
      </c>
      <c r="D189" t="s">
        <v>1181</v>
      </c>
      <c r="E189" t="s">
        <v>25</v>
      </c>
      <c r="F189" t="s">
        <v>1182</v>
      </c>
    </row>
    <row r="190" spans="1:6" x14ac:dyDescent="0.3">
      <c r="A190" t="s">
        <v>1490</v>
      </c>
      <c r="B190">
        <v>0</v>
      </c>
      <c r="C190" t="s">
        <v>1491</v>
      </c>
      <c r="D190" t="s">
        <v>1492</v>
      </c>
      <c r="E190" t="s">
        <v>25</v>
      </c>
      <c r="F190" t="s">
        <v>1493</v>
      </c>
    </row>
    <row r="191" spans="1:6" x14ac:dyDescent="0.3">
      <c r="A191" t="s">
        <v>1524</v>
      </c>
      <c r="B191">
        <v>4</v>
      </c>
      <c r="C191" t="s">
        <v>1525</v>
      </c>
      <c r="D191" t="s">
        <v>1526</v>
      </c>
      <c r="E191" t="s">
        <v>1527</v>
      </c>
      <c r="F191" t="s">
        <v>1528</v>
      </c>
    </row>
    <row r="192" spans="1:6" x14ac:dyDescent="0.3">
      <c r="A192" t="s">
        <v>1007</v>
      </c>
      <c r="B192">
        <v>0</v>
      </c>
      <c r="C192" t="s">
        <v>1008</v>
      </c>
      <c r="D192" t="s">
        <v>1009</v>
      </c>
      <c r="E192" t="s">
        <v>25</v>
      </c>
      <c r="F192" t="s">
        <v>1010</v>
      </c>
    </row>
    <row r="193" spans="1:6" x14ac:dyDescent="0.3">
      <c r="A193" t="s">
        <v>771</v>
      </c>
      <c r="B193">
        <v>0</v>
      </c>
      <c r="C193" t="s">
        <v>772</v>
      </c>
      <c r="D193" t="s">
        <v>773</v>
      </c>
      <c r="E193" t="s">
        <v>25</v>
      </c>
      <c r="F193" t="s">
        <v>774</v>
      </c>
    </row>
    <row r="194" spans="1:6" x14ac:dyDescent="0.3">
      <c r="A194" t="s">
        <v>1228</v>
      </c>
      <c r="B194">
        <v>0</v>
      </c>
      <c r="C194" t="s">
        <v>1229</v>
      </c>
      <c r="D194" t="s">
        <v>1230</v>
      </c>
      <c r="E194" t="s">
        <v>25</v>
      </c>
      <c r="F194" t="s">
        <v>1231</v>
      </c>
    </row>
    <row r="195" spans="1:6" x14ac:dyDescent="0.3">
      <c r="A195" t="s">
        <v>1021</v>
      </c>
      <c r="B195">
        <v>0</v>
      </c>
      <c r="C195" t="s">
        <v>1022</v>
      </c>
      <c r="D195" t="s">
        <v>1023</v>
      </c>
      <c r="E195" t="s">
        <v>25</v>
      </c>
      <c r="F195" t="s">
        <v>1024</v>
      </c>
    </row>
    <row r="196" spans="1:6" x14ac:dyDescent="0.3">
      <c r="A196" t="s">
        <v>1463</v>
      </c>
      <c r="B196">
        <v>4</v>
      </c>
      <c r="C196" t="s">
        <v>1464</v>
      </c>
      <c r="D196" t="s">
        <v>1465</v>
      </c>
      <c r="E196" t="s">
        <v>1466</v>
      </c>
      <c r="F196" t="s">
        <v>1467</v>
      </c>
    </row>
    <row r="197" spans="1:6" x14ac:dyDescent="0.3">
      <c r="A197" t="s">
        <v>1292</v>
      </c>
      <c r="B197">
        <v>0</v>
      </c>
      <c r="C197" t="s">
        <v>1293</v>
      </c>
      <c r="D197" t="s">
        <v>1294</v>
      </c>
      <c r="E197" t="s">
        <v>25</v>
      </c>
      <c r="F197" t="s">
        <v>1295</v>
      </c>
    </row>
    <row r="198" spans="1:6" x14ac:dyDescent="0.3">
      <c r="A198" t="s">
        <v>1327</v>
      </c>
      <c r="B198">
        <v>0</v>
      </c>
      <c r="C198" t="s">
        <v>1328</v>
      </c>
      <c r="D198" t="s">
        <v>1329</v>
      </c>
      <c r="E198" t="s">
        <v>25</v>
      </c>
      <c r="F198" t="s">
        <v>1330</v>
      </c>
    </row>
    <row r="199" spans="1:6" x14ac:dyDescent="0.3">
      <c r="A199" t="s">
        <v>1473</v>
      </c>
      <c r="B199">
        <v>0</v>
      </c>
      <c r="C199" t="s">
        <v>1474</v>
      </c>
      <c r="D199" t="s">
        <v>1475</v>
      </c>
      <c r="E199" t="s">
        <v>25</v>
      </c>
      <c r="F199" t="s">
        <v>1476</v>
      </c>
    </row>
    <row r="200" spans="1:6" x14ac:dyDescent="0.3">
      <c r="A200" t="s">
        <v>883</v>
      </c>
      <c r="B200">
        <v>8</v>
      </c>
      <c r="C200" t="s">
        <v>884</v>
      </c>
      <c r="D200" t="s">
        <v>885</v>
      </c>
      <c r="E200" t="s">
        <v>886</v>
      </c>
      <c r="F200" t="s">
        <v>887</v>
      </c>
    </row>
    <row r="201" spans="1:6" x14ac:dyDescent="0.3">
      <c r="A201" t="s">
        <v>860</v>
      </c>
      <c r="B201">
        <v>0</v>
      </c>
      <c r="C201" t="s">
        <v>861</v>
      </c>
      <c r="D201" t="s">
        <v>862</v>
      </c>
      <c r="E201" t="s">
        <v>25</v>
      </c>
      <c r="F201" t="s">
        <v>863</v>
      </c>
    </row>
    <row r="202" spans="1:6" x14ac:dyDescent="0.3">
      <c r="A202" t="s">
        <v>959</v>
      </c>
      <c r="B202">
        <v>7</v>
      </c>
      <c r="C202" t="s">
        <v>960</v>
      </c>
      <c r="D202" t="s">
        <v>961</v>
      </c>
      <c r="E202" t="s">
        <v>962</v>
      </c>
      <c r="F202" t="s">
        <v>963</v>
      </c>
    </row>
    <row r="203" spans="1:6" x14ac:dyDescent="0.3">
      <c r="A203" t="s">
        <v>1162</v>
      </c>
      <c r="B203">
        <v>0</v>
      </c>
      <c r="C203" t="s">
        <v>1163</v>
      </c>
      <c r="D203" t="s">
        <v>1164</v>
      </c>
      <c r="E203" t="s">
        <v>25</v>
      </c>
      <c r="F203" t="s">
        <v>1165</v>
      </c>
    </row>
    <row r="204" spans="1:6" x14ac:dyDescent="0.3">
      <c r="A204" t="s">
        <v>1025</v>
      </c>
      <c r="B204">
        <v>8</v>
      </c>
      <c r="C204" t="s">
        <v>1026</v>
      </c>
      <c r="D204" t="s">
        <v>1027</v>
      </c>
      <c r="E204" t="s">
        <v>1028</v>
      </c>
      <c r="F204" t="s">
        <v>1029</v>
      </c>
    </row>
    <row r="205" spans="1:6" x14ac:dyDescent="0.3">
      <c r="A205" t="s">
        <v>829</v>
      </c>
      <c r="B205">
        <v>0</v>
      </c>
      <c r="C205" t="s">
        <v>830</v>
      </c>
      <c r="D205" t="s">
        <v>831</v>
      </c>
      <c r="E205" t="s">
        <v>25</v>
      </c>
      <c r="F205" t="s">
        <v>832</v>
      </c>
    </row>
    <row r="206" spans="1:6" x14ac:dyDescent="0.3">
      <c r="A206" t="s">
        <v>651</v>
      </c>
      <c r="B206">
        <v>0</v>
      </c>
      <c r="C206" t="s">
        <v>652</v>
      </c>
      <c r="D206" t="s">
        <v>653</v>
      </c>
      <c r="E206" t="s">
        <v>25</v>
      </c>
      <c r="F206" t="s">
        <v>654</v>
      </c>
    </row>
    <row r="207" spans="1:6" x14ac:dyDescent="0.3">
      <c r="A207" t="s">
        <v>604</v>
      </c>
      <c r="B207">
        <v>0</v>
      </c>
      <c r="C207" t="s">
        <v>605</v>
      </c>
      <c r="D207" t="s">
        <v>606</v>
      </c>
      <c r="E207" t="s">
        <v>25</v>
      </c>
      <c r="F207" t="s">
        <v>607</v>
      </c>
    </row>
    <row r="208" spans="1:6" x14ac:dyDescent="0.3">
      <c r="A208" t="s">
        <v>628</v>
      </c>
      <c r="B208">
        <v>0</v>
      </c>
      <c r="C208" t="s">
        <v>629</v>
      </c>
      <c r="D208" t="s">
        <v>630</v>
      </c>
      <c r="E208" t="s">
        <v>25</v>
      </c>
      <c r="F208" t="s">
        <v>631</v>
      </c>
    </row>
    <row r="209" spans="1:6" x14ac:dyDescent="0.3">
      <c r="A209" t="s">
        <v>1343</v>
      </c>
      <c r="B209">
        <v>0</v>
      </c>
      <c r="C209" t="s">
        <v>1344</v>
      </c>
      <c r="D209" t="s">
        <v>1345</v>
      </c>
      <c r="E209" t="s">
        <v>25</v>
      </c>
      <c r="F209" t="s">
        <v>1346</v>
      </c>
    </row>
    <row r="210" spans="1:6" x14ac:dyDescent="0.3">
      <c r="A210" t="s">
        <v>1123</v>
      </c>
      <c r="B210">
        <v>0</v>
      </c>
      <c r="C210" t="s">
        <v>1124</v>
      </c>
      <c r="D210" t="s">
        <v>1125</v>
      </c>
      <c r="E210" t="s">
        <v>25</v>
      </c>
      <c r="F210" t="s">
        <v>1126</v>
      </c>
    </row>
    <row r="211" spans="1:6" x14ac:dyDescent="0.3">
      <c r="A211" t="s">
        <v>1154</v>
      </c>
      <c r="B211">
        <v>0</v>
      </c>
      <c r="C211" t="s">
        <v>1155</v>
      </c>
      <c r="D211" t="s">
        <v>1156</v>
      </c>
      <c r="E211" t="s">
        <v>25</v>
      </c>
      <c r="F211" t="s">
        <v>1157</v>
      </c>
    </row>
    <row r="212" spans="1:6" x14ac:dyDescent="0.3">
      <c r="A212" t="s">
        <v>1062</v>
      </c>
      <c r="B212">
        <v>0</v>
      </c>
      <c r="C212" t="s">
        <v>1063</v>
      </c>
      <c r="D212" t="s">
        <v>1064</v>
      </c>
      <c r="E212" t="s">
        <v>25</v>
      </c>
      <c r="F212" t="s">
        <v>1065</v>
      </c>
    </row>
    <row r="213" spans="1:6" x14ac:dyDescent="0.3">
      <c r="A213" t="s">
        <v>1352</v>
      </c>
      <c r="B213">
        <v>0</v>
      </c>
      <c r="C213" t="s">
        <v>1353</v>
      </c>
      <c r="D213" t="s">
        <v>1354</v>
      </c>
      <c r="E213" t="s">
        <v>25</v>
      </c>
      <c r="F213" t="s">
        <v>1355</v>
      </c>
    </row>
    <row r="214" spans="1:6" x14ac:dyDescent="0.3">
      <c r="A214" t="s">
        <v>1516</v>
      </c>
      <c r="B214">
        <v>0</v>
      </c>
      <c r="C214" t="s">
        <v>1517</v>
      </c>
      <c r="D214" t="s">
        <v>1518</v>
      </c>
      <c r="E214" t="s">
        <v>25</v>
      </c>
      <c r="F214" t="s">
        <v>1519</v>
      </c>
    </row>
    <row r="215" spans="1:6" x14ac:dyDescent="0.3">
      <c r="A215" t="s">
        <v>658</v>
      </c>
      <c r="B215">
        <v>4</v>
      </c>
      <c r="C215" t="s">
        <v>659</v>
      </c>
      <c r="D215" t="s">
        <v>660</v>
      </c>
      <c r="E215" t="s">
        <v>661</v>
      </c>
      <c r="F215" t="s">
        <v>662</v>
      </c>
    </row>
    <row r="216" spans="1:6" x14ac:dyDescent="0.3">
      <c r="A216" t="s">
        <v>1145</v>
      </c>
      <c r="B216">
        <v>7</v>
      </c>
      <c r="C216" t="s">
        <v>1146</v>
      </c>
      <c r="D216" t="s">
        <v>1147</v>
      </c>
      <c r="E216" t="s">
        <v>1148</v>
      </c>
      <c r="F216" t="s">
        <v>1149</v>
      </c>
    </row>
    <row r="217" spans="1:6" x14ac:dyDescent="0.3">
      <c r="A217" t="s">
        <v>855</v>
      </c>
      <c r="B217">
        <v>4</v>
      </c>
      <c r="C217" t="s">
        <v>856</v>
      </c>
      <c r="D217" t="s">
        <v>857</v>
      </c>
      <c r="E217" t="s">
        <v>858</v>
      </c>
      <c r="F217" t="s">
        <v>859</v>
      </c>
    </row>
    <row r="218" spans="1:6" x14ac:dyDescent="0.3">
      <c r="A218" t="s">
        <v>1095</v>
      </c>
      <c r="B218">
        <v>6</v>
      </c>
      <c r="C218" t="s">
        <v>1096</v>
      </c>
      <c r="D218" t="s">
        <v>1097</v>
      </c>
      <c r="E218" t="s">
        <v>1098</v>
      </c>
      <c r="F218" t="s">
        <v>1099</v>
      </c>
    </row>
    <row r="219" spans="1:6" x14ac:dyDescent="0.3">
      <c r="A219" t="s">
        <v>646</v>
      </c>
      <c r="B219">
        <v>8</v>
      </c>
      <c r="C219" t="s">
        <v>647</v>
      </c>
      <c r="D219" t="s">
        <v>648</v>
      </c>
      <c r="E219" t="s">
        <v>649</v>
      </c>
      <c r="F219" t="s">
        <v>650</v>
      </c>
    </row>
    <row r="220" spans="1:6" x14ac:dyDescent="0.3">
      <c r="A220" t="s">
        <v>918</v>
      </c>
      <c r="B220">
        <v>0</v>
      </c>
      <c r="C220" t="s">
        <v>919</v>
      </c>
      <c r="D220" t="s">
        <v>920</v>
      </c>
      <c r="E220" t="s">
        <v>25</v>
      </c>
      <c r="F220" t="s">
        <v>921</v>
      </c>
    </row>
    <row r="221" spans="1:6" x14ac:dyDescent="0.3">
      <c r="A221" t="s">
        <v>538</v>
      </c>
      <c r="B221">
        <v>7</v>
      </c>
      <c r="C221" t="s">
        <v>539</v>
      </c>
      <c r="D221" t="s">
        <v>540</v>
      </c>
      <c r="E221" t="s">
        <v>541</v>
      </c>
      <c r="F221" t="s">
        <v>542</v>
      </c>
    </row>
    <row r="222" spans="1:6" x14ac:dyDescent="0.3">
      <c r="A222" t="s">
        <v>995</v>
      </c>
      <c r="B222">
        <v>0</v>
      </c>
      <c r="C222" t="s">
        <v>996</v>
      </c>
      <c r="D222" t="s">
        <v>997</v>
      </c>
      <c r="E222" t="s">
        <v>25</v>
      </c>
      <c r="F222" t="s">
        <v>998</v>
      </c>
    </row>
    <row r="223" spans="1:6" x14ac:dyDescent="0.3">
      <c r="A223" t="s">
        <v>637</v>
      </c>
      <c r="B223">
        <v>0</v>
      </c>
      <c r="C223" t="s">
        <v>638</v>
      </c>
      <c r="D223" t="s">
        <v>639</v>
      </c>
      <c r="E223" t="s">
        <v>25</v>
      </c>
      <c r="F223" t="s">
        <v>640</v>
      </c>
    </row>
  </sheetData>
  <sortState xmlns:xlrd2="http://schemas.microsoft.com/office/spreadsheetml/2017/richdata2" ref="A2:G223">
    <sortCondition ref="A2:A223"/>
  </sortState>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A7117-F1A8-4941-9230-02390FE13601}">
  <dimension ref="A1:Z223"/>
  <sheetViews>
    <sheetView topLeftCell="Q134" zoomScale="85" zoomScaleNormal="85" workbookViewId="0">
      <selection activeCell="AN118" sqref="AN118"/>
    </sheetView>
  </sheetViews>
  <sheetFormatPr defaultRowHeight="14.4" x14ac:dyDescent="0.3"/>
  <cols>
    <col min="1" max="14" width="7.88671875" customWidth="1"/>
    <col min="17" max="17" width="11" bestFit="1" customWidth="1"/>
    <col min="21" max="21" width="10.44140625" bestFit="1" customWidth="1"/>
    <col min="22" max="22" width="7.44140625" customWidth="1"/>
    <col min="23" max="23" width="11.33203125" bestFit="1" customWidth="1"/>
  </cols>
  <sheetData>
    <row r="1" spans="1:22" x14ac:dyDescent="0.3">
      <c r="A1" s="1" t="s">
        <v>0</v>
      </c>
      <c r="B1" s="1" t="s">
        <v>1529</v>
      </c>
      <c r="C1" s="1" t="s">
        <v>1531</v>
      </c>
      <c r="D1" s="1" t="s">
        <v>1530</v>
      </c>
      <c r="E1" s="1"/>
      <c r="F1" s="1" t="s">
        <v>0</v>
      </c>
      <c r="G1" s="1" t="s">
        <v>1531</v>
      </c>
      <c r="H1" s="1" t="s">
        <v>1530</v>
      </c>
      <c r="I1" s="1" t="s">
        <v>1529</v>
      </c>
      <c r="L1" s="1" t="s">
        <v>1749</v>
      </c>
      <c r="M1" s="1" t="s">
        <v>1750</v>
      </c>
      <c r="N1" s="1" t="s">
        <v>1751</v>
      </c>
      <c r="P1" s="2" t="s">
        <v>1749</v>
      </c>
      <c r="Q1" s="2" t="s">
        <v>1750</v>
      </c>
      <c r="R1" s="2" t="s">
        <v>1751</v>
      </c>
      <c r="S1" s="2" t="s">
        <v>1753</v>
      </c>
      <c r="T1" s="2" t="s">
        <v>1763</v>
      </c>
      <c r="U1" s="2" t="s">
        <v>1764</v>
      </c>
    </row>
    <row r="2" spans="1:22" x14ac:dyDescent="0.3">
      <c r="A2" t="s">
        <v>422</v>
      </c>
      <c r="B2">
        <v>6</v>
      </c>
      <c r="C2" t="str">
        <f>LEFT(RIGHT(A2,8),4)</f>
        <v>0001</v>
      </c>
      <c r="D2" t="s">
        <v>1532</v>
      </c>
      <c r="F2" t="s">
        <v>837</v>
      </c>
      <c r="G2" t="str">
        <f>LEFT(RIGHT(F2,8),4)</f>
        <v>/000</v>
      </c>
      <c r="H2" t="s">
        <v>1643</v>
      </c>
      <c r="I2">
        <v>0</v>
      </c>
      <c r="L2" t="s">
        <v>1532</v>
      </c>
      <c r="M2">
        <v>6</v>
      </c>
      <c r="N2">
        <f>VLOOKUP(L2,$G$2:$I$223,3,FALSE)</f>
        <v>0</v>
      </c>
      <c r="P2" t="s">
        <v>1532</v>
      </c>
      <c r="Q2">
        <v>6</v>
      </c>
      <c r="R2">
        <v>0</v>
      </c>
      <c r="S2">
        <f>Q2-R2</f>
        <v>6</v>
      </c>
      <c r="T2">
        <f>ABS(S2)</f>
        <v>6</v>
      </c>
      <c r="U2">
        <f>_xlfn.RANK.AVG(S2,$S$2:$S$112,1)</f>
        <v>97.5</v>
      </c>
      <c r="V2" s="5"/>
    </row>
    <row r="3" spans="1:22" x14ac:dyDescent="0.3">
      <c r="A3" t="s">
        <v>363</v>
      </c>
      <c r="B3">
        <v>4</v>
      </c>
      <c r="C3" t="str">
        <f t="shared" ref="C3:C66" si="0">LEFT(RIGHT(A3,8),4)</f>
        <v>0002</v>
      </c>
      <c r="D3" t="s">
        <v>1533</v>
      </c>
      <c r="F3" t="s">
        <v>742</v>
      </c>
      <c r="G3" t="str">
        <f t="shared" ref="G3:G66" si="1">LEFT(RIGHT(F3,8),4)</f>
        <v>0001</v>
      </c>
      <c r="H3" t="s">
        <v>1532</v>
      </c>
      <c r="I3">
        <v>0</v>
      </c>
      <c r="L3" t="s">
        <v>1533</v>
      </c>
      <c r="M3">
        <v>4</v>
      </c>
      <c r="N3">
        <f t="shared" ref="N3:N66" si="2">VLOOKUP(L3,$G$2:$I$223,3,FALSE)</f>
        <v>3</v>
      </c>
      <c r="P3" t="s">
        <v>1533</v>
      </c>
      <c r="Q3">
        <v>4</v>
      </c>
      <c r="R3">
        <v>3</v>
      </c>
      <c r="S3">
        <f t="shared" ref="S3:S66" si="3">Q3-R3</f>
        <v>1</v>
      </c>
      <c r="T3">
        <f t="shared" ref="T3:T66" si="4">ABS(S3)</f>
        <v>1</v>
      </c>
      <c r="U3">
        <f t="shared" ref="U3:U66" si="5">_xlfn.RANK.AVG(S3,$S$2:$S$112,1)</f>
        <v>53</v>
      </c>
    </row>
    <row r="4" spans="1:22" x14ac:dyDescent="0.3">
      <c r="A4" t="s">
        <v>516</v>
      </c>
      <c r="B4">
        <v>6</v>
      </c>
      <c r="C4" t="str">
        <f t="shared" si="0"/>
        <v>0003</v>
      </c>
      <c r="D4" t="s">
        <v>1534</v>
      </c>
      <c r="F4" t="s">
        <v>1048</v>
      </c>
      <c r="G4" t="str">
        <f t="shared" si="1"/>
        <v>0002</v>
      </c>
      <c r="H4" t="s">
        <v>1533</v>
      </c>
      <c r="I4">
        <v>3</v>
      </c>
      <c r="L4" t="s">
        <v>1534</v>
      </c>
      <c r="M4">
        <v>6</v>
      </c>
      <c r="N4">
        <f t="shared" si="2"/>
        <v>6</v>
      </c>
      <c r="P4" t="s">
        <v>1534</v>
      </c>
      <c r="Q4">
        <v>6</v>
      </c>
      <c r="R4">
        <v>6</v>
      </c>
      <c r="S4">
        <f t="shared" si="3"/>
        <v>0</v>
      </c>
      <c r="T4">
        <f t="shared" si="4"/>
        <v>0</v>
      </c>
      <c r="U4">
        <f t="shared" si="5"/>
        <v>23.5</v>
      </c>
    </row>
    <row r="5" spans="1:22" x14ac:dyDescent="0.3">
      <c r="A5" t="s">
        <v>298</v>
      </c>
      <c r="B5">
        <v>0</v>
      </c>
      <c r="C5" t="str">
        <f t="shared" si="0"/>
        <v>0004</v>
      </c>
      <c r="D5" t="s">
        <v>1535</v>
      </c>
      <c r="F5" t="s">
        <v>1080</v>
      </c>
      <c r="G5" t="str">
        <f t="shared" si="1"/>
        <v>0003</v>
      </c>
      <c r="H5" t="s">
        <v>1534</v>
      </c>
      <c r="I5">
        <v>6</v>
      </c>
      <c r="L5" t="s">
        <v>1535</v>
      </c>
      <c r="M5">
        <v>0</v>
      </c>
      <c r="N5">
        <f t="shared" si="2"/>
        <v>0</v>
      </c>
      <c r="P5" t="s">
        <v>1535</v>
      </c>
      <c r="Q5">
        <v>0</v>
      </c>
      <c r="R5">
        <v>0</v>
      </c>
      <c r="S5">
        <f t="shared" si="3"/>
        <v>0</v>
      </c>
      <c r="T5">
        <f t="shared" si="4"/>
        <v>0</v>
      </c>
      <c r="U5">
        <f t="shared" si="5"/>
        <v>23.5</v>
      </c>
    </row>
    <row r="6" spans="1:22" x14ac:dyDescent="0.3">
      <c r="A6" t="s">
        <v>98</v>
      </c>
      <c r="B6">
        <v>0</v>
      </c>
      <c r="C6" t="str">
        <f t="shared" si="0"/>
        <v>0005</v>
      </c>
      <c r="D6" t="s">
        <v>1536</v>
      </c>
      <c r="F6" t="s">
        <v>939</v>
      </c>
      <c r="G6" t="str">
        <f t="shared" si="1"/>
        <v>0004</v>
      </c>
      <c r="H6" t="s">
        <v>1535</v>
      </c>
      <c r="I6">
        <v>0</v>
      </c>
      <c r="L6" t="s">
        <v>1536</v>
      </c>
      <c r="M6">
        <v>0</v>
      </c>
      <c r="N6">
        <f t="shared" si="2"/>
        <v>0</v>
      </c>
      <c r="P6" t="s">
        <v>1536</v>
      </c>
      <c r="Q6">
        <v>0</v>
      </c>
      <c r="R6">
        <v>0</v>
      </c>
      <c r="S6">
        <f t="shared" si="3"/>
        <v>0</v>
      </c>
      <c r="T6">
        <f t="shared" si="4"/>
        <v>0</v>
      </c>
      <c r="U6">
        <f t="shared" si="5"/>
        <v>23.5</v>
      </c>
    </row>
    <row r="7" spans="1:22" x14ac:dyDescent="0.3">
      <c r="A7" t="s">
        <v>348</v>
      </c>
      <c r="B7">
        <v>5</v>
      </c>
      <c r="C7" t="str">
        <f t="shared" si="0"/>
        <v>0006</v>
      </c>
      <c r="D7" t="s">
        <v>1537</v>
      </c>
      <c r="F7" t="s">
        <v>1175</v>
      </c>
      <c r="G7" t="str">
        <f t="shared" si="1"/>
        <v>0005</v>
      </c>
      <c r="H7" t="s">
        <v>1536</v>
      </c>
      <c r="I7">
        <v>0</v>
      </c>
      <c r="L7" t="s">
        <v>1537</v>
      </c>
      <c r="M7">
        <v>5</v>
      </c>
      <c r="N7">
        <f t="shared" si="2"/>
        <v>0</v>
      </c>
      <c r="P7" t="s">
        <v>1537</v>
      </c>
      <c r="Q7">
        <v>5</v>
      </c>
      <c r="R7">
        <v>0</v>
      </c>
      <c r="S7">
        <f t="shared" si="3"/>
        <v>5</v>
      </c>
      <c r="T7">
        <f t="shared" si="4"/>
        <v>5</v>
      </c>
      <c r="U7">
        <f t="shared" si="5"/>
        <v>87.5</v>
      </c>
    </row>
    <row r="8" spans="1:22" x14ac:dyDescent="0.3">
      <c r="A8" t="s">
        <v>122</v>
      </c>
      <c r="B8">
        <v>6</v>
      </c>
      <c r="C8" t="str">
        <f t="shared" si="0"/>
        <v>0007</v>
      </c>
      <c r="D8" t="s">
        <v>1538</v>
      </c>
      <c r="F8" t="s">
        <v>977</v>
      </c>
      <c r="G8" t="str">
        <f t="shared" si="1"/>
        <v>0006</v>
      </c>
      <c r="H8" t="s">
        <v>1537</v>
      </c>
      <c r="I8">
        <v>0</v>
      </c>
      <c r="L8" t="s">
        <v>1538</v>
      </c>
      <c r="M8">
        <v>6</v>
      </c>
      <c r="N8">
        <f t="shared" si="2"/>
        <v>0</v>
      </c>
      <c r="P8" t="s">
        <v>1538</v>
      </c>
      <c r="Q8">
        <v>6</v>
      </c>
      <c r="R8">
        <v>0</v>
      </c>
      <c r="S8">
        <f t="shared" si="3"/>
        <v>6</v>
      </c>
      <c r="T8">
        <f t="shared" si="4"/>
        <v>6</v>
      </c>
      <c r="U8">
        <f t="shared" si="5"/>
        <v>97.5</v>
      </c>
    </row>
    <row r="9" spans="1:22" x14ac:dyDescent="0.3">
      <c r="A9" t="s">
        <v>31</v>
      </c>
      <c r="B9">
        <v>5</v>
      </c>
      <c r="C9" t="str">
        <f t="shared" si="0"/>
        <v>0008</v>
      </c>
      <c r="D9" t="s">
        <v>1539</v>
      </c>
      <c r="F9" t="s">
        <v>1104</v>
      </c>
      <c r="G9" t="str">
        <f t="shared" si="1"/>
        <v>0007</v>
      </c>
      <c r="H9" t="s">
        <v>1538</v>
      </c>
      <c r="I9">
        <v>0</v>
      </c>
      <c r="L9" t="s">
        <v>1539</v>
      </c>
      <c r="M9">
        <v>5</v>
      </c>
      <c r="N9">
        <f t="shared" si="2"/>
        <v>4</v>
      </c>
      <c r="P9" t="s">
        <v>1539</v>
      </c>
      <c r="Q9">
        <v>5</v>
      </c>
      <c r="R9">
        <v>4</v>
      </c>
      <c r="S9">
        <f t="shared" si="3"/>
        <v>1</v>
      </c>
      <c r="T9">
        <f t="shared" si="4"/>
        <v>1</v>
      </c>
      <c r="U9">
        <f t="shared" si="5"/>
        <v>53</v>
      </c>
    </row>
    <row r="10" spans="1:22" x14ac:dyDescent="0.3">
      <c r="A10" t="s">
        <v>293</v>
      </c>
      <c r="B10">
        <v>6</v>
      </c>
      <c r="C10" t="str">
        <f t="shared" si="0"/>
        <v>0009</v>
      </c>
      <c r="D10" t="s">
        <v>1540</v>
      </c>
      <c r="F10" t="s">
        <v>703</v>
      </c>
      <c r="G10" t="str">
        <f t="shared" si="1"/>
        <v>0008</v>
      </c>
      <c r="H10" t="s">
        <v>1539</v>
      </c>
      <c r="I10">
        <v>4</v>
      </c>
      <c r="L10" t="s">
        <v>1540</v>
      </c>
      <c r="M10">
        <v>6</v>
      </c>
      <c r="N10">
        <f t="shared" si="2"/>
        <v>5</v>
      </c>
      <c r="P10" t="s">
        <v>1540</v>
      </c>
      <c r="Q10">
        <v>6</v>
      </c>
      <c r="R10">
        <v>5</v>
      </c>
      <c r="S10">
        <f t="shared" si="3"/>
        <v>1</v>
      </c>
      <c r="T10">
        <f t="shared" si="4"/>
        <v>1</v>
      </c>
      <c r="U10">
        <f t="shared" si="5"/>
        <v>53</v>
      </c>
    </row>
    <row r="11" spans="1:22" x14ac:dyDescent="0.3">
      <c r="A11" t="s">
        <v>511</v>
      </c>
      <c r="B11">
        <v>6</v>
      </c>
      <c r="C11" t="str">
        <f t="shared" si="0"/>
        <v>0010</v>
      </c>
      <c r="D11" t="s">
        <v>1541</v>
      </c>
      <c r="F11" t="s">
        <v>1108</v>
      </c>
      <c r="G11" t="str">
        <f t="shared" si="1"/>
        <v>0009</v>
      </c>
      <c r="H11" t="s">
        <v>1540</v>
      </c>
      <c r="I11">
        <v>5</v>
      </c>
      <c r="L11" t="s">
        <v>1541</v>
      </c>
      <c r="M11">
        <v>6</v>
      </c>
      <c r="N11">
        <f t="shared" si="2"/>
        <v>4</v>
      </c>
      <c r="P11" t="s">
        <v>1541</v>
      </c>
      <c r="Q11">
        <v>6</v>
      </c>
      <c r="R11">
        <v>4</v>
      </c>
      <c r="S11">
        <f t="shared" si="3"/>
        <v>2</v>
      </c>
      <c r="T11">
        <f t="shared" si="4"/>
        <v>2</v>
      </c>
      <c r="U11">
        <f t="shared" si="5"/>
        <v>66</v>
      </c>
    </row>
    <row r="12" spans="1:22" x14ac:dyDescent="0.3">
      <c r="A12" t="s">
        <v>338</v>
      </c>
      <c r="B12">
        <v>7</v>
      </c>
      <c r="C12" t="str">
        <f t="shared" si="0"/>
        <v>0011</v>
      </c>
      <c r="D12" t="s">
        <v>1542</v>
      </c>
      <c r="F12" t="s">
        <v>746</v>
      </c>
      <c r="G12" t="str">
        <f t="shared" si="1"/>
        <v>0010</v>
      </c>
      <c r="H12" t="s">
        <v>1541</v>
      </c>
      <c r="I12">
        <v>4</v>
      </c>
      <c r="L12" t="s">
        <v>1542</v>
      </c>
      <c r="M12">
        <v>7</v>
      </c>
      <c r="N12">
        <f t="shared" si="2"/>
        <v>7</v>
      </c>
      <c r="P12" t="s">
        <v>1542</v>
      </c>
      <c r="Q12">
        <v>7</v>
      </c>
      <c r="R12">
        <v>7</v>
      </c>
      <c r="S12">
        <f t="shared" si="3"/>
        <v>0</v>
      </c>
      <c r="T12">
        <f t="shared" si="4"/>
        <v>0</v>
      </c>
      <c r="U12">
        <f t="shared" si="5"/>
        <v>23.5</v>
      </c>
    </row>
    <row r="13" spans="1:22" x14ac:dyDescent="0.3">
      <c r="A13" t="s">
        <v>463</v>
      </c>
      <c r="B13">
        <v>9</v>
      </c>
      <c r="C13" t="str">
        <f t="shared" si="0"/>
        <v>0012</v>
      </c>
      <c r="D13" t="s">
        <v>1543</v>
      </c>
      <c r="F13" t="s">
        <v>708</v>
      </c>
      <c r="G13" t="str">
        <f t="shared" si="1"/>
        <v>0011</v>
      </c>
      <c r="H13" t="s">
        <v>1542</v>
      </c>
      <c r="I13">
        <v>7</v>
      </c>
      <c r="L13" t="s">
        <v>1543</v>
      </c>
      <c r="M13">
        <v>9</v>
      </c>
      <c r="N13">
        <f t="shared" si="2"/>
        <v>0</v>
      </c>
      <c r="P13" t="s">
        <v>1543</v>
      </c>
      <c r="Q13">
        <v>9</v>
      </c>
      <c r="R13">
        <v>0</v>
      </c>
      <c r="S13">
        <f t="shared" si="3"/>
        <v>9</v>
      </c>
      <c r="T13">
        <f t="shared" si="4"/>
        <v>9</v>
      </c>
      <c r="U13">
        <f t="shared" si="5"/>
        <v>110.5</v>
      </c>
    </row>
    <row r="14" spans="1:22" x14ac:dyDescent="0.3">
      <c r="A14" t="s">
        <v>343</v>
      </c>
      <c r="B14">
        <v>8</v>
      </c>
      <c r="C14" t="str">
        <f t="shared" si="0"/>
        <v>0013</v>
      </c>
      <c r="D14" t="s">
        <v>1544</v>
      </c>
      <c r="F14" t="s">
        <v>1335</v>
      </c>
      <c r="G14" t="str">
        <f t="shared" si="1"/>
        <v>0012</v>
      </c>
      <c r="H14" t="s">
        <v>1543</v>
      </c>
      <c r="I14">
        <v>0</v>
      </c>
      <c r="L14" t="s">
        <v>1544</v>
      </c>
      <c r="M14">
        <v>8</v>
      </c>
      <c r="N14">
        <f t="shared" si="2"/>
        <v>7</v>
      </c>
      <c r="P14" t="s">
        <v>1544</v>
      </c>
      <c r="Q14">
        <v>8</v>
      </c>
      <c r="R14">
        <v>7</v>
      </c>
      <c r="S14">
        <f t="shared" si="3"/>
        <v>1</v>
      </c>
      <c r="T14">
        <f t="shared" si="4"/>
        <v>1</v>
      </c>
      <c r="U14">
        <f t="shared" si="5"/>
        <v>53</v>
      </c>
    </row>
    <row r="15" spans="1:22" x14ac:dyDescent="0.3">
      <c r="A15" t="s">
        <v>152</v>
      </c>
      <c r="B15">
        <v>8</v>
      </c>
      <c r="C15" t="str">
        <f t="shared" si="0"/>
        <v>0014</v>
      </c>
      <c r="D15" t="s">
        <v>1545</v>
      </c>
      <c r="F15" t="s">
        <v>1218</v>
      </c>
      <c r="G15" t="str">
        <f t="shared" si="1"/>
        <v>0013</v>
      </c>
      <c r="H15" t="s">
        <v>1544</v>
      </c>
      <c r="I15">
        <v>7</v>
      </c>
      <c r="L15" t="s">
        <v>1545</v>
      </c>
      <c r="M15">
        <v>8</v>
      </c>
      <c r="N15">
        <f t="shared" si="2"/>
        <v>7</v>
      </c>
      <c r="P15" t="s">
        <v>1545</v>
      </c>
      <c r="Q15">
        <v>8</v>
      </c>
      <c r="R15">
        <v>7</v>
      </c>
      <c r="S15">
        <f t="shared" si="3"/>
        <v>1</v>
      </c>
      <c r="T15">
        <f t="shared" si="4"/>
        <v>1</v>
      </c>
      <c r="U15">
        <f t="shared" si="5"/>
        <v>53</v>
      </c>
    </row>
    <row r="16" spans="1:22" x14ac:dyDescent="0.3">
      <c r="A16" t="s">
        <v>320</v>
      </c>
      <c r="B16">
        <v>8</v>
      </c>
      <c r="C16" t="str">
        <f t="shared" si="0"/>
        <v>0015</v>
      </c>
      <c r="D16" t="s">
        <v>1546</v>
      </c>
      <c r="F16" t="s">
        <v>1347</v>
      </c>
      <c r="G16" t="str">
        <f t="shared" si="1"/>
        <v>0014</v>
      </c>
      <c r="H16" t="s">
        <v>1545</v>
      </c>
      <c r="I16">
        <v>7</v>
      </c>
      <c r="L16" t="s">
        <v>1546</v>
      </c>
      <c r="M16">
        <v>8</v>
      </c>
      <c r="N16">
        <f t="shared" si="2"/>
        <v>0</v>
      </c>
      <c r="P16" t="s">
        <v>1546</v>
      </c>
      <c r="Q16">
        <v>8</v>
      </c>
      <c r="R16">
        <v>0</v>
      </c>
      <c r="S16">
        <f t="shared" si="3"/>
        <v>8</v>
      </c>
      <c r="T16">
        <f t="shared" si="4"/>
        <v>8</v>
      </c>
      <c r="U16">
        <f t="shared" si="5"/>
        <v>107</v>
      </c>
    </row>
    <row r="17" spans="1:21" x14ac:dyDescent="0.3">
      <c r="A17" t="s">
        <v>358</v>
      </c>
      <c r="B17">
        <v>8</v>
      </c>
      <c r="C17" t="str">
        <f t="shared" si="0"/>
        <v>0016</v>
      </c>
      <c r="D17" t="s">
        <v>1547</v>
      </c>
      <c r="F17" t="s">
        <v>1422</v>
      </c>
      <c r="G17" t="str">
        <f t="shared" si="1"/>
        <v>0015</v>
      </c>
      <c r="H17" t="s">
        <v>1546</v>
      </c>
      <c r="I17">
        <v>0</v>
      </c>
      <c r="L17" t="s">
        <v>1547</v>
      </c>
      <c r="M17">
        <v>8</v>
      </c>
      <c r="N17">
        <f t="shared" si="2"/>
        <v>0</v>
      </c>
      <c r="P17" t="s">
        <v>1547</v>
      </c>
      <c r="Q17">
        <v>8</v>
      </c>
      <c r="R17">
        <v>0</v>
      </c>
      <c r="S17">
        <f t="shared" si="3"/>
        <v>8</v>
      </c>
      <c r="T17">
        <f t="shared" si="4"/>
        <v>8</v>
      </c>
      <c r="U17">
        <f t="shared" si="5"/>
        <v>107</v>
      </c>
    </row>
    <row r="18" spans="1:21" x14ac:dyDescent="0.3">
      <c r="A18" t="s">
        <v>147</v>
      </c>
      <c r="B18">
        <v>8</v>
      </c>
      <c r="C18" t="str">
        <f t="shared" si="0"/>
        <v>0017</v>
      </c>
      <c r="D18" t="s">
        <v>1548</v>
      </c>
      <c r="F18" t="s">
        <v>1300</v>
      </c>
      <c r="G18" t="str">
        <f t="shared" si="1"/>
        <v>0016</v>
      </c>
      <c r="H18" t="s">
        <v>1547</v>
      </c>
      <c r="I18">
        <v>0</v>
      </c>
      <c r="L18" t="s">
        <v>1548</v>
      </c>
      <c r="M18">
        <v>8</v>
      </c>
      <c r="N18">
        <f t="shared" si="2"/>
        <v>8</v>
      </c>
      <c r="P18" t="s">
        <v>1548</v>
      </c>
      <c r="Q18">
        <v>8</v>
      </c>
      <c r="R18">
        <v>8</v>
      </c>
      <c r="S18">
        <f t="shared" si="3"/>
        <v>0</v>
      </c>
      <c r="T18">
        <f t="shared" si="4"/>
        <v>0</v>
      </c>
      <c r="U18">
        <f t="shared" si="5"/>
        <v>23.5</v>
      </c>
    </row>
    <row r="19" spans="1:21" x14ac:dyDescent="0.3">
      <c r="A19" t="s">
        <v>248</v>
      </c>
      <c r="B19">
        <v>7</v>
      </c>
      <c r="C19" t="str">
        <f t="shared" si="0"/>
        <v>0018</v>
      </c>
      <c r="D19" t="s">
        <v>1549</v>
      </c>
      <c r="F19" t="s">
        <v>756</v>
      </c>
      <c r="G19" t="str">
        <f t="shared" si="1"/>
        <v>0017</v>
      </c>
      <c r="H19" t="s">
        <v>1548</v>
      </c>
      <c r="I19">
        <v>8</v>
      </c>
      <c r="L19" t="s">
        <v>1549</v>
      </c>
      <c r="M19">
        <v>7</v>
      </c>
      <c r="N19">
        <f t="shared" si="2"/>
        <v>7</v>
      </c>
      <c r="P19" t="s">
        <v>1549</v>
      </c>
      <c r="Q19">
        <v>7</v>
      </c>
      <c r="R19">
        <v>7</v>
      </c>
      <c r="S19">
        <f t="shared" si="3"/>
        <v>0</v>
      </c>
      <c r="T19">
        <f t="shared" si="4"/>
        <v>0</v>
      </c>
      <c r="U19">
        <f t="shared" si="5"/>
        <v>23.5</v>
      </c>
    </row>
    <row r="20" spans="1:21" x14ac:dyDescent="0.3">
      <c r="A20" t="s">
        <v>387</v>
      </c>
      <c r="B20">
        <v>8</v>
      </c>
      <c r="C20" t="str">
        <f t="shared" si="0"/>
        <v>0019</v>
      </c>
      <c r="D20" t="s">
        <v>1550</v>
      </c>
      <c r="F20" t="s">
        <v>1269</v>
      </c>
      <c r="G20" t="str">
        <f t="shared" si="1"/>
        <v>0018</v>
      </c>
      <c r="H20" t="s">
        <v>1549</v>
      </c>
      <c r="I20">
        <v>7</v>
      </c>
      <c r="L20" t="s">
        <v>1550</v>
      </c>
      <c r="M20">
        <v>8</v>
      </c>
      <c r="N20">
        <f t="shared" si="2"/>
        <v>5</v>
      </c>
      <c r="P20" t="s">
        <v>1550</v>
      </c>
      <c r="Q20">
        <v>8</v>
      </c>
      <c r="R20">
        <v>5</v>
      </c>
      <c r="S20">
        <f t="shared" si="3"/>
        <v>3</v>
      </c>
      <c r="T20">
        <f t="shared" si="4"/>
        <v>3</v>
      </c>
      <c r="U20">
        <f t="shared" si="5"/>
        <v>72.5</v>
      </c>
    </row>
    <row r="21" spans="1:21" x14ac:dyDescent="0.3">
      <c r="A21" t="s">
        <v>468</v>
      </c>
      <c r="B21">
        <v>6</v>
      </c>
      <c r="C21" t="str">
        <f t="shared" si="0"/>
        <v>0020</v>
      </c>
      <c r="D21" t="s">
        <v>1551</v>
      </c>
      <c r="F21" t="s">
        <v>1140</v>
      </c>
      <c r="G21" t="str">
        <f t="shared" si="1"/>
        <v>0019</v>
      </c>
      <c r="H21" t="s">
        <v>1550</v>
      </c>
      <c r="I21">
        <v>5</v>
      </c>
      <c r="L21" t="s">
        <v>1551</v>
      </c>
      <c r="M21">
        <v>6</v>
      </c>
      <c r="N21">
        <f t="shared" si="2"/>
        <v>6</v>
      </c>
      <c r="P21" t="s">
        <v>1551</v>
      </c>
      <c r="Q21">
        <v>6</v>
      </c>
      <c r="R21">
        <v>6</v>
      </c>
      <c r="S21">
        <f t="shared" si="3"/>
        <v>0</v>
      </c>
      <c r="T21">
        <f t="shared" si="4"/>
        <v>0</v>
      </c>
      <c r="U21">
        <f t="shared" si="5"/>
        <v>23.5</v>
      </c>
    </row>
    <row r="22" spans="1:21" x14ac:dyDescent="0.3">
      <c r="A22" t="s">
        <v>93</v>
      </c>
      <c r="B22">
        <v>8</v>
      </c>
      <c r="C22" t="str">
        <f t="shared" si="0"/>
        <v>0021</v>
      </c>
      <c r="D22" t="s">
        <v>1552</v>
      </c>
      <c r="F22" t="s">
        <v>723</v>
      </c>
      <c r="G22" t="str">
        <f t="shared" si="1"/>
        <v>0020</v>
      </c>
      <c r="H22" t="s">
        <v>1551</v>
      </c>
      <c r="I22">
        <v>6</v>
      </c>
      <c r="L22" t="s">
        <v>1552</v>
      </c>
      <c r="M22">
        <v>8</v>
      </c>
      <c r="N22">
        <f t="shared" si="2"/>
        <v>7</v>
      </c>
      <c r="P22" t="s">
        <v>1552</v>
      </c>
      <c r="Q22">
        <v>8</v>
      </c>
      <c r="R22">
        <v>7</v>
      </c>
      <c r="S22">
        <f t="shared" si="3"/>
        <v>1</v>
      </c>
      <c r="T22">
        <f t="shared" si="4"/>
        <v>1</v>
      </c>
      <c r="U22">
        <f t="shared" si="5"/>
        <v>53</v>
      </c>
    </row>
    <row r="23" spans="1:21" x14ac:dyDescent="0.3">
      <c r="A23" t="s">
        <v>112</v>
      </c>
      <c r="B23">
        <v>9</v>
      </c>
      <c r="C23" t="str">
        <f t="shared" si="0"/>
        <v>0022</v>
      </c>
      <c r="D23" t="s">
        <v>1553</v>
      </c>
      <c r="F23" t="s">
        <v>1196</v>
      </c>
      <c r="G23" t="str">
        <f t="shared" si="1"/>
        <v>0021</v>
      </c>
      <c r="H23" t="s">
        <v>1552</v>
      </c>
      <c r="I23">
        <v>7</v>
      </c>
      <c r="L23" t="s">
        <v>1553</v>
      </c>
      <c r="M23">
        <v>9</v>
      </c>
      <c r="N23">
        <f t="shared" si="2"/>
        <v>0</v>
      </c>
      <c r="P23" t="s">
        <v>1553</v>
      </c>
      <c r="Q23">
        <v>9</v>
      </c>
      <c r="R23">
        <v>0</v>
      </c>
      <c r="S23">
        <f t="shared" si="3"/>
        <v>9</v>
      </c>
      <c r="T23">
        <f t="shared" si="4"/>
        <v>9</v>
      </c>
      <c r="U23">
        <f t="shared" si="5"/>
        <v>110.5</v>
      </c>
    </row>
    <row r="24" spans="1:21" x14ac:dyDescent="0.3">
      <c r="A24" t="s">
        <v>166</v>
      </c>
      <c r="B24">
        <v>8</v>
      </c>
      <c r="C24" t="str">
        <f t="shared" si="0"/>
        <v>0023</v>
      </c>
      <c r="D24" t="s">
        <v>1554</v>
      </c>
      <c r="F24" t="s">
        <v>964</v>
      </c>
      <c r="G24" t="str">
        <f t="shared" si="1"/>
        <v>0022</v>
      </c>
      <c r="H24" t="s">
        <v>1553</v>
      </c>
      <c r="I24">
        <v>0</v>
      </c>
      <c r="L24" t="s">
        <v>1554</v>
      </c>
      <c r="M24">
        <v>8</v>
      </c>
      <c r="N24">
        <f t="shared" si="2"/>
        <v>6</v>
      </c>
      <c r="P24" t="s">
        <v>1554</v>
      </c>
      <c r="Q24">
        <v>8</v>
      </c>
      <c r="R24">
        <v>6</v>
      </c>
      <c r="S24">
        <f t="shared" si="3"/>
        <v>2</v>
      </c>
      <c r="T24">
        <f t="shared" si="4"/>
        <v>2</v>
      </c>
      <c r="U24">
        <f t="shared" si="5"/>
        <v>66</v>
      </c>
    </row>
    <row r="25" spans="1:21" x14ac:dyDescent="0.3">
      <c r="A25" t="s">
        <v>171</v>
      </c>
      <c r="B25">
        <v>8</v>
      </c>
      <c r="C25" t="str">
        <f t="shared" si="0"/>
        <v>0024</v>
      </c>
      <c r="D25" t="s">
        <v>1555</v>
      </c>
      <c r="F25" t="s">
        <v>806</v>
      </c>
      <c r="G25" t="str">
        <f t="shared" si="1"/>
        <v>0023</v>
      </c>
      <c r="H25" t="s">
        <v>1554</v>
      </c>
      <c r="I25">
        <v>6</v>
      </c>
      <c r="L25" t="s">
        <v>1555</v>
      </c>
      <c r="M25">
        <v>8</v>
      </c>
      <c r="N25">
        <f t="shared" si="2"/>
        <v>7</v>
      </c>
      <c r="P25" t="s">
        <v>1555</v>
      </c>
      <c r="Q25">
        <v>8</v>
      </c>
      <c r="R25">
        <v>7</v>
      </c>
      <c r="S25">
        <f t="shared" si="3"/>
        <v>1</v>
      </c>
      <c r="T25">
        <f t="shared" si="4"/>
        <v>1</v>
      </c>
      <c r="U25">
        <f t="shared" si="5"/>
        <v>53</v>
      </c>
    </row>
    <row r="26" spans="1:21" x14ac:dyDescent="0.3">
      <c r="A26" t="s">
        <v>102</v>
      </c>
      <c r="B26">
        <v>7</v>
      </c>
      <c r="C26" t="str">
        <f t="shared" si="0"/>
        <v>0025</v>
      </c>
      <c r="D26" t="s">
        <v>1556</v>
      </c>
      <c r="F26" t="s">
        <v>1011</v>
      </c>
      <c r="G26" t="str">
        <f t="shared" si="1"/>
        <v>0024</v>
      </c>
      <c r="H26" t="s">
        <v>1555</v>
      </c>
      <c r="I26">
        <v>7</v>
      </c>
      <c r="L26" t="s">
        <v>1556</v>
      </c>
      <c r="M26">
        <v>7</v>
      </c>
      <c r="N26">
        <f t="shared" si="2"/>
        <v>5</v>
      </c>
      <c r="P26" t="s">
        <v>1556</v>
      </c>
      <c r="Q26">
        <v>7</v>
      </c>
      <c r="R26">
        <v>5</v>
      </c>
      <c r="S26">
        <f t="shared" si="3"/>
        <v>2</v>
      </c>
      <c r="T26">
        <f t="shared" si="4"/>
        <v>2</v>
      </c>
      <c r="U26">
        <f t="shared" si="5"/>
        <v>66</v>
      </c>
    </row>
    <row r="27" spans="1:21" x14ac:dyDescent="0.3">
      <c r="A27" t="s">
        <v>427</v>
      </c>
      <c r="B27">
        <v>7</v>
      </c>
      <c r="C27" t="str">
        <f t="shared" si="0"/>
        <v>0026</v>
      </c>
      <c r="D27" t="s">
        <v>1557</v>
      </c>
      <c r="F27" t="s">
        <v>1374</v>
      </c>
      <c r="G27" t="str">
        <f t="shared" si="1"/>
        <v>0025</v>
      </c>
      <c r="H27" t="s">
        <v>1556</v>
      </c>
      <c r="I27">
        <v>5</v>
      </c>
      <c r="L27" t="s">
        <v>1557</v>
      </c>
      <c r="M27">
        <v>7</v>
      </c>
      <c r="N27">
        <f t="shared" si="2"/>
        <v>5</v>
      </c>
      <c r="P27" t="s">
        <v>1557</v>
      </c>
      <c r="Q27">
        <v>7</v>
      </c>
      <c r="R27">
        <v>5</v>
      </c>
      <c r="S27">
        <f t="shared" si="3"/>
        <v>2</v>
      </c>
      <c r="T27">
        <f t="shared" si="4"/>
        <v>2</v>
      </c>
      <c r="U27">
        <f t="shared" si="5"/>
        <v>66</v>
      </c>
    </row>
    <row r="28" spans="1:21" x14ac:dyDescent="0.3">
      <c r="A28" t="s">
        <v>397</v>
      </c>
      <c r="B28">
        <v>7</v>
      </c>
      <c r="C28" t="str">
        <f t="shared" si="0"/>
        <v>0027</v>
      </c>
      <c r="D28" t="s">
        <v>1558</v>
      </c>
      <c r="F28" t="s">
        <v>1016</v>
      </c>
      <c r="G28" t="str">
        <f t="shared" si="1"/>
        <v>0026</v>
      </c>
      <c r="H28" t="s">
        <v>1557</v>
      </c>
      <c r="I28">
        <v>5</v>
      </c>
      <c r="L28" t="s">
        <v>1558</v>
      </c>
      <c r="M28">
        <v>7</v>
      </c>
      <c r="N28">
        <f t="shared" si="2"/>
        <v>6</v>
      </c>
      <c r="P28" t="s">
        <v>1558</v>
      </c>
      <c r="Q28">
        <v>7</v>
      </c>
      <c r="R28">
        <v>6</v>
      </c>
      <c r="S28">
        <f t="shared" si="3"/>
        <v>1</v>
      </c>
      <c r="T28">
        <f t="shared" si="4"/>
        <v>1</v>
      </c>
      <c r="U28">
        <f t="shared" si="5"/>
        <v>53</v>
      </c>
    </row>
    <row r="29" spans="1:21" x14ac:dyDescent="0.3">
      <c r="A29" t="s">
        <v>209</v>
      </c>
      <c r="B29">
        <v>7</v>
      </c>
      <c r="C29" t="str">
        <f t="shared" si="0"/>
        <v>0028</v>
      </c>
      <c r="D29" t="s">
        <v>1559</v>
      </c>
      <c r="F29" t="s">
        <v>1118</v>
      </c>
      <c r="G29" t="str">
        <f t="shared" si="1"/>
        <v>0027</v>
      </c>
      <c r="H29" t="s">
        <v>1558</v>
      </c>
      <c r="I29">
        <v>6</v>
      </c>
      <c r="L29" t="s">
        <v>1559</v>
      </c>
      <c r="M29">
        <v>7</v>
      </c>
      <c r="N29">
        <f t="shared" si="2"/>
        <v>6</v>
      </c>
      <c r="P29" t="s">
        <v>1559</v>
      </c>
      <c r="Q29">
        <v>7</v>
      </c>
      <c r="R29">
        <v>6</v>
      </c>
      <c r="S29">
        <f t="shared" si="3"/>
        <v>1</v>
      </c>
      <c r="T29">
        <f t="shared" si="4"/>
        <v>1</v>
      </c>
      <c r="U29">
        <f t="shared" si="5"/>
        <v>53</v>
      </c>
    </row>
    <row r="30" spans="1:21" x14ac:dyDescent="0.3">
      <c r="A30" t="s">
        <v>268</v>
      </c>
      <c r="B30">
        <v>5</v>
      </c>
      <c r="C30" t="str">
        <f t="shared" si="0"/>
        <v>0029</v>
      </c>
      <c r="D30" t="s">
        <v>1560</v>
      </c>
      <c r="F30" t="s">
        <v>1314</v>
      </c>
      <c r="G30" t="str">
        <f t="shared" si="1"/>
        <v>0028</v>
      </c>
      <c r="H30" t="s">
        <v>1559</v>
      </c>
      <c r="I30">
        <v>6</v>
      </c>
      <c r="L30" t="s">
        <v>1560</v>
      </c>
      <c r="M30">
        <v>5</v>
      </c>
      <c r="N30">
        <f t="shared" si="2"/>
        <v>0</v>
      </c>
      <c r="P30" t="s">
        <v>1560</v>
      </c>
      <c r="Q30">
        <v>5</v>
      </c>
      <c r="R30">
        <v>0</v>
      </c>
      <c r="S30">
        <f t="shared" si="3"/>
        <v>5</v>
      </c>
      <c r="T30">
        <f t="shared" si="4"/>
        <v>5</v>
      </c>
      <c r="U30">
        <f t="shared" si="5"/>
        <v>87.5</v>
      </c>
    </row>
    <row r="31" spans="1:21" x14ac:dyDescent="0.3">
      <c r="A31" t="s">
        <v>378</v>
      </c>
      <c r="B31">
        <v>8</v>
      </c>
      <c r="C31" t="str">
        <f t="shared" si="0"/>
        <v>0030</v>
      </c>
      <c r="D31" t="s">
        <v>1561</v>
      </c>
      <c r="F31" t="s">
        <v>1402</v>
      </c>
      <c r="G31" t="str">
        <f t="shared" si="1"/>
        <v>0029</v>
      </c>
      <c r="H31" t="s">
        <v>1560</v>
      </c>
      <c r="I31">
        <v>0</v>
      </c>
      <c r="L31" t="s">
        <v>1561</v>
      </c>
      <c r="M31">
        <v>8</v>
      </c>
      <c r="N31">
        <f t="shared" si="2"/>
        <v>8</v>
      </c>
      <c r="P31" t="s">
        <v>1561</v>
      </c>
      <c r="Q31">
        <v>8</v>
      </c>
      <c r="R31">
        <v>8</v>
      </c>
      <c r="S31">
        <f t="shared" si="3"/>
        <v>0</v>
      </c>
      <c r="T31">
        <f t="shared" si="4"/>
        <v>0</v>
      </c>
      <c r="U31">
        <f t="shared" si="5"/>
        <v>23.5</v>
      </c>
    </row>
    <row r="32" spans="1:21" x14ac:dyDescent="0.3">
      <c r="A32" t="s">
        <v>41</v>
      </c>
      <c r="B32">
        <v>6</v>
      </c>
      <c r="C32" t="str">
        <f t="shared" si="0"/>
        <v>0031</v>
      </c>
      <c r="D32" t="s">
        <v>1562</v>
      </c>
      <c r="F32" t="s">
        <v>1038</v>
      </c>
      <c r="G32" t="str">
        <f t="shared" si="1"/>
        <v>0030</v>
      </c>
      <c r="H32" t="s">
        <v>1561</v>
      </c>
      <c r="I32">
        <v>8</v>
      </c>
      <c r="L32" t="s">
        <v>1562</v>
      </c>
      <c r="M32">
        <v>6</v>
      </c>
      <c r="N32">
        <f t="shared" si="2"/>
        <v>6</v>
      </c>
      <c r="P32" t="s">
        <v>1562</v>
      </c>
      <c r="Q32">
        <v>6</v>
      </c>
      <c r="R32">
        <v>6</v>
      </c>
      <c r="S32">
        <f t="shared" si="3"/>
        <v>0</v>
      </c>
      <c r="T32">
        <f t="shared" si="4"/>
        <v>0</v>
      </c>
      <c r="U32">
        <f t="shared" si="5"/>
        <v>23.5</v>
      </c>
    </row>
    <row r="33" spans="1:21" x14ac:dyDescent="0.3">
      <c r="A33" t="s">
        <v>186</v>
      </c>
      <c r="B33">
        <v>6</v>
      </c>
      <c r="C33" t="str">
        <f t="shared" si="0"/>
        <v>0032</v>
      </c>
      <c r="D33" t="s">
        <v>1563</v>
      </c>
      <c r="F33" t="s">
        <v>1250</v>
      </c>
      <c r="G33" t="str">
        <f t="shared" si="1"/>
        <v>0031</v>
      </c>
      <c r="H33" t="s">
        <v>1562</v>
      </c>
      <c r="I33">
        <v>6</v>
      </c>
      <c r="L33" t="s">
        <v>1563</v>
      </c>
      <c r="M33">
        <v>6</v>
      </c>
      <c r="N33">
        <f t="shared" si="2"/>
        <v>0</v>
      </c>
      <c r="P33" t="s">
        <v>1563</v>
      </c>
      <c r="Q33">
        <v>6</v>
      </c>
      <c r="R33">
        <v>0</v>
      </c>
      <c r="S33">
        <f t="shared" si="3"/>
        <v>6</v>
      </c>
      <c r="T33">
        <f t="shared" si="4"/>
        <v>6</v>
      </c>
      <c r="U33">
        <f t="shared" si="5"/>
        <v>97.5</v>
      </c>
    </row>
    <row r="34" spans="1:21" x14ac:dyDescent="0.3">
      <c r="A34" t="s">
        <v>273</v>
      </c>
      <c r="B34">
        <v>7</v>
      </c>
      <c r="C34" t="str">
        <f t="shared" si="0"/>
        <v>0033</v>
      </c>
      <c r="D34" t="s">
        <v>1564</v>
      </c>
      <c r="F34" t="s">
        <v>986</v>
      </c>
      <c r="G34" t="str">
        <f t="shared" si="1"/>
        <v>0032</v>
      </c>
      <c r="H34" t="s">
        <v>1563</v>
      </c>
      <c r="I34">
        <v>0</v>
      </c>
      <c r="L34" t="s">
        <v>1564</v>
      </c>
      <c r="M34">
        <v>7</v>
      </c>
      <c r="N34">
        <f t="shared" si="2"/>
        <v>5</v>
      </c>
      <c r="P34" t="s">
        <v>1564</v>
      </c>
      <c r="Q34">
        <v>7</v>
      </c>
      <c r="R34">
        <v>5</v>
      </c>
      <c r="S34">
        <f t="shared" si="3"/>
        <v>2</v>
      </c>
      <c r="T34">
        <f t="shared" si="4"/>
        <v>2</v>
      </c>
      <c r="U34">
        <f t="shared" si="5"/>
        <v>66</v>
      </c>
    </row>
    <row r="35" spans="1:21" x14ac:dyDescent="0.3">
      <c r="A35" t="s">
        <v>243</v>
      </c>
      <c r="B35">
        <v>10</v>
      </c>
      <c r="C35" t="str">
        <f t="shared" si="0"/>
        <v>0034</v>
      </c>
      <c r="D35" t="s">
        <v>1565</v>
      </c>
      <c r="F35" t="s">
        <v>713</v>
      </c>
      <c r="G35" t="str">
        <f t="shared" si="1"/>
        <v>0033</v>
      </c>
      <c r="H35" t="s">
        <v>1564</v>
      </c>
      <c r="I35">
        <v>5</v>
      </c>
      <c r="L35" t="s">
        <v>1565</v>
      </c>
      <c r="M35">
        <v>10</v>
      </c>
      <c r="N35">
        <f t="shared" si="2"/>
        <v>6</v>
      </c>
      <c r="P35" t="s">
        <v>1565</v>
      </c>
      <c r="Q35">
        <v>10</v>
      </c>
      <c r="R35">
        <v>6</v>
      </c>
      <c r="S35">
        <f t="shared" si="3"/>
        <v>4</v>
      </c>
      <c r="T35">
        <f t="shared" si="4"/>
        <v>4</v>
      </c>
      <c r="U35">
        <f t="shared" si="5"/>
        <v>79</v>
      </c>
    </row>
    <row r="36" spans="1:21" x14ac:dyDescent="0.3">
      <c r="A36" t="s">
        <v>214</v>
      </c>
      <c r="B36">
        <v>9</v>
      </c>
      <c r="C36" t="str">
        <f t="shared" si="0"/>
        <v>0035</v>
      </c>
      <c r="D36" t="s">
        <v>1566</v>
      </c>
      <c r="F36" t="s">
        <v>1458</v>
      </c>
      <c r="G36" t="str">
        <f t="shared" si="1"/>
        <v>0034</v>
      </c>
      <c r="H36" t="s">
        <v>1565</v>
      </c>
      <c r="I36">
        <v>6</v>
      </c>
      <c r="L36" t="s">
        <v>1566</v>
      </c>
      <c r="M36">
        <v>9</v>
      </c>
      <c r="N36">
        <f t="shared" si="2"/>
        <v>9</v>
      </c>
      <c r="P36" t="s">
        <v>1566</v>
      </c>
      <c r="Q36">
        <v>9</v>
      </c>
      <c r="R36">
        <v>9</v>
      </c>
      <c r="S36">
        <f t="shared" si="3"/>
        <v>0</v>
      </c>
      <c r="T36">
        <f t="shared" si="4"/>
        <v>0</v>
      </c>
      <c r="U36">
        <f t="shared" si="5"/>
        <v>23.5</v>
      </c>
    </row>
    <row r="37" spans="1:21" x14ac:dyDescent="0.3">
      <c r="A37" t="s">
        <v>181</v>
      </c>
      <c r="B37">
        <v>6</v>
      </c>
      <c r="C37" t="str">
        <f t="shared" si="0"/>
        <v>0036</v>
      </c>
      <c r="D37" t="s">
        <v>1567</v>
      </c>
      <c r="F37" t="s">
        <v>990</v>
      </c>
      <c r="G37" t="str">
        <f t="shared" si="1"/>
        <v>0035</v>
      </c>
      <c r="H37" t="s">
        <v>1566</v>
      </c>
      <c r="I37">
        <v>9</v>
      </c>
      <c r="L37" t="s">
        <v>1567</v>
      </c>
      <c r="M37">
        <v>6</v>
      </c>
      <c r="N37">
        <f t="shared" si="2"/>
        <v>0</v>
      </c>
      <c r="P37" t="s">
        <v>1567</v>
      </c>
      <c r="Q37">
        <v>6</v>
      </c>
      <c r="R37">
        <v>0</v>
      </c>
      <c r="S37">
        <f t="shared" si="3"/>
        <v>6</v>
      </c>
      <c r="T37">
        <f t="shared" si="4"/>
        <v>6</v>
      </c>
      <c r="U37">
        <f t="shared" si="5"/>
        <v>97.5</v>
      </c>
    </row>
    <row r="38" spans="1:21" x14ac:dyDescent="0.3">
      <c r="A38" t="s">
        <v>17</v>
      </c>
      <c r="B38">
        <v>3</v>
      </c>
      <c r="C38" t="str">
        <f t="shared" si="0"/>
        <v>0037</v>
      </c>
      <c r="D38" t="s">
        <v>1568</v>
      </c>
      <c r="F38" t="s">
        <v>547</v>
      </c>
      <c r="G38" t="str">
        <f t="shared" si="1"/>
        <v>0036</v>
      </c>
      <c r="H38" t="s">
        <v>1567</v>
      </c>
      <c r="I38">
        <v>0</v>
      </c>
      <c r="L38" t="s">
        <v>1568</v>
      </c>
      <c r="M38">
        <v>3</v>
      </c>
      <c r="N38">
        <f t="shared" si="2"/>
        <v>0</v>
      </c>
      <c r="P38" t="s">
        <v>1568</v>
      </c>
      <c r="Q38">
        <v>3</v>
      </c>
      <c r="R38">
        <v>0</v>
      </c>
      <c r="S38">
        <f t="shared" si="3"/>
        <v>3</v>
      </c>
      <c r="T38">
        <f t="shared" si="4"/>
        <v>3</v>
      </c>
      <c r="U38">
        <f t="shared" si="5"/>
        <v>72.5</v>
      </c>
    </row>
    <row r="39" spans="1:21" x14ac:dyDescent="0.3">
      <c r="A39" t="s">
        <v>373</v>
      </c>
      <c r="B39">
        <v>9</v>
      </c>
      <c r="C39" t="str">
        <f t="shared" si="0"/>
        <v>0038</v>
      </c>
      <c r="D39" t="s">
        <v>1569</v>
      </c>
      <c r="F39" t="s">
        <v>1384</v>
      </c>
      <c r="G39" t="str">
        <f t="shared" si="1"/>
        <v>0037</v>
      </c>
      <c r="H39" t="s">
        <v>1568</v>
      </c>
      <c r="I39">
        <v>0</v>
      </c>
      <c r="L39" t="s">
        <v>1569</v>
      </c>
      <c r="M39">
        <v>9</v>
      </c>
      <c r="N39">
        <f t="shared" si="2"/>
        <v>4</v>
      </c>
      <c r="P39" t="s">
        <v>1569</v>
      </c>
      <c r="Q39">
        <v>9</v>
      </c>
      <c r="R39">
        <v>4</v>
      </c>
      <c r="S39">
        <f t="shared" si="3"/>
        <v>5</v>
      </c>
      <c r="T39">
        <f t="shared" si="4"/>
        <v>5</v>
      </c>
      <c r="U39">
        <f t="shared" si="5"/>
        <v>87.5</v>
      </c>
    </row>
    <row r="40" spans="1:21" x14ac:dyDescent="0.3">
      <c r="A40" t="s">
        <v>278</v>
      </c>
      <c r="B40">
        <v>7</v>
      </c>
      <c r="C40" t="str">
        <f t="shared" si="0"/>
        <v>0039</v>
      </c>
      <c r="D40" t="s">
        <v>1570</v>
      </c>
      <c r="F40" t="s">
        <v>934</v>
      </c>
      <c r="G40" t="str">
        <f t="shared" si="1"/>
        <v>0038</v>
      </c>
      <c r="H40" t="s">
        <v>1569</v>
      </c>
      <c r="I40">
        <v>4</v>
      </c>
      <c r="L40" t="s">
        <v>1570</v>
      </c>
      <c r="M40">
        <v>7</v>
      </c>
      <c r="N40">
        <f t="shared" si="2"/>
        <v>5</v>
      </c>
      <c r="P40" t="s">
        <v>1570</v>
      </c>
      <c r="Q40">
        <v>7</v>
      </c>
      <c r="R40">
        <v>5</v>
      </c>
      <c r="S40">
        <f t="shared" si="3"/>
        <v>2</v>
      </c>
      <c r="T40">
        <f t="shared" si="4"/>
        <v>2</v>
      </c>
      <c r="U40">
        <f t="shared" si="5"/>
        <v>66</v>
      </c>
    </row>
    <row r="41" spans="1:21" x14ac:dyDescent="0.3">
      <c r="A41" t="s">
        <v>36</v>
      </c>
      <c r="B41">
        <v>6</v>
      </c>
      <c r="C41" t="str">
        <f t="shared" si="0"/>
        <v>0040</v>
      </c>
      <c r="D41" t="s">
        <v>1571</v>
      </c>
      <c r="F41" t="s">
        <v>1485</v>
      </c>
      <c r="G41" t="str">
        <f t="shared" si="1"/>
        <v>0039</v>
      </c>
      <c r="H41" t="s">
        <v>1570</v>
      </c>
      <c r="I41">
        <v>5</v>
      </c>
      <c r="L41" t="s">
        <v>1571</v>
      </c>
      <c r="M41">
        <v>6</v>
      </c>
      <c r="N41">
        <f t="shared" si="2"/>
        <v>0</v>
      </c>
      <c r="P41" t="s">
        <v>1571</v>
      </c>
      <c r="Q41">
        <v>6</v>
      </c>
      <c r="R41">
        <v>0</v>
      </c>
      <c r="S41">
        <f t="shared" si="3"/>
        <v>6</v>
      </c>
      <c r="T41">
        <f t="shared" si="4"/>
        <v>6</v>
      </c>
      <c r="U41">
        <f t="shared" si="5"/>
        <v>97.5</v>
      </c>
    </row>
    <row r="42" spans="1:21" x14ac:dyDescent="0.3">
      <c r="A42" t="s">
        <v>529</v>
      </c>
      <c r="B42">
        <v>7</v>
      </c>
      <c r="C42" t="str">
        <f t="shared" si="0"/>
        <v>0041</v>
      </c>
      <c r="D42" t="s">
        <v>1572</v>
      </c>
      <c r="F42" t="s">
        <v>1188</v>
      </c>
      <c r="G42" t="str">
        <f t="shared" si="1"/>
        <v>0040</v>
      </c>
      <c r="H42" t="s">
        <v>1571</v>
      </c>
      <c r="I42">
        <v>0</v>
      </c>
      <c r="L42" t="s">
        <v>1572</v>
      </c>
      <c r="M42">
        <v>7</v>
      </c>
      <c r="N42">
        <f t="shared" si="2"/>
        <v>6</v>
      </c>
      <c r="P42" t="s">
        <v>1572</v>
      </c>
      <c r="Q42">
        <v>7</v>
      </c>
      <c r="R42">
        <v>6</v>
      </c>
      <c r="S42">
        <f t="shared" si="3"/>
        <v>1</v>
      </c>
      <c r="T42">
        <f t="shared" si="4"/>
        <v>1</v>
      </c>
      <c r="U42">
        <f t="shared" si="5"/>
        <v>53</v>
      </c>
    </row>
    <row r="43" spans="1:21" x14ac:dyDescent="0.3">
      <c r="A43" t="s">
        <v>487</v>
      </c>
      <c r="B43">
        <v>0</v>
      </c>
      <c r="C43" t="str">
        <f t="shared" si="0"/>
        <v>0042</v>
      </c>
      <c r="D43" t="s">
        <v>1573</v>
      </c>
      <c r="F43" t="s">
        <v>864</v>
      </c>
      <c r="G43" t="str">
        <f t="shared" si="1"/>
        <v>0041</v>
      </c>
      <c r="H43" t="s">
        <v>1572</v>
      </c>
      <c r="I43">
        <v>6</v>
      </c>
      <c r="L43" t="s">
        <v>1573</v>
      </c>
      <c r="M43">
        <v>0</v>
      </c>
      <c r="N43">
        <f t="shared" si="2"/>
        <v>0</v>
      </c>
      <c r="P43" t="s">
        <v>1573</v>
      </c>
      <c r="Q43">
        <v>0</v>
      </c>
      <c r="R43">
        <v>0</v>
      </c>
      <c r="S43">
        <f t="shared" si="3"/>
        <v>0</v>
      </c>
      <c r="T43">
        <f t="shared" si="4"/>
        <v>0</v>
      </c>
      <c r="U43">
        <f t="shared" si="5"/>
        <v>23.5</v>
      </c>
    </row>
    <row r="44" spans="1:21" x14ac:dyDescent="0.3">
      <c r="A44" t="s">
        <v>437</v>
      </c>
      <c r="B44">
        <v>0</v>
      </c>
      <c r="C44" t="str">
        <f t="shared" si="0"/>
        <v>0043</v>
      </c>
      <c r="D44" t="s">
        <v>1574</v>
      </c>
      <c r="F44" t="s">
        <v>888</v>
      </c>
      <c r="G44" t="str">
        <f t="shared" si="1"/>
        <v>0042</v>
      </c>
      <c r="H44" t="s">
        <v>1573</v>
      </c>
      <c r="I44">
        <v>0</v>
      </c>
      <c r="L44" t="s">
        <v>1574</v>
      </c>
      <c r="M44">
        <v>0</v>
      </c>
      <c r="N44">
        <f t="shared" si="2"/>
        <v>0</v>
      </c>
      <c r="P44" t="s">
        <v>1574</v>
      </c>
      <c r="Q44">
        <v>0</v>
      </c>
      <c r="R44">
        <v>0</v>
      </c>
      <c r="S44">
        <f t="shared" si="3"/>
        <v>0</v>
      </c>
      <c r="T44">
        <f t="shared" si="4"/>
        <v>0</v>
      </c>
      <c r="U44">
        <f t="shared" si="5"/>
        <v>23.5</v>
      </c>
    </row>
    <row r="45" spans="1:21" x14ac:dyDescent="0.3">
      <c r="A45" t="s">
        <v>157</v>
      </c>
      <c r="B45">
        <v>7</v>
      </c>
      <c r="C45" t="str">
        <f t="shared" si="0"/>
        <v>0044</v>
      </c>
      <c r="D45" t="s">
        <v>1575</v>
      </c>
      <c r="F45" t="s">
        <v>676</v>
      </c>
      <c r="G45" t="str">
        <f t="shared" si="1"/>
        <v>0043</v>
      </c>
      <c r="H45" t="s">
        <v>1574</v>
      </c>
      <c r="I45">
        <v>0</v>
      </c>
      <c r="L45" t="s">
        <v>1575</v>
      </c>
      <c r="M45">
        <v>7</v>
      </c>
      <c r="N45">
        <f t="shared" si="2"/>
        <v>0</v>
      </c>
      <c r="P45" t="s">
        <v>1575</v>
      </c>
      <c r="Q45">
        <v>7</v>
      </c>
      <c r="R45">
        <v>0</v>
      </c>
      <c r="S45">
        <f t="shared" si="3"/>
        <v>7</v>
      </c>
      <c r="T45">
        <f t="shared" si="4"/>
        <v>7</v>
      </c>
      <c r="U45">
        <f t="shared" si="5"/>
        <v>103.5</v>
      </c>
    </row>
    <row r="46" spans="1:21" x14ac:dyDescent="0.3">
      <c r="A46" t="s">
        <v>315</v>
      </c>
      <c r="B46">
        <v>4</v>
      </c>
      <c r="C46" t="str">
        <f t="shared" si="0"/>
        <v>0045</v>
      </c>
      <c r="D46" t="s">
        <v>1576</v>
      </c>
      <c r="F46" t="s">
        <v>922</v>
      </c>
      <c r="G46" t="str">
        <f t="shared" si="1"/>
        <v>0044</v>
      </c>
      <c r="H46" t="s">
        <v>1575</v>
      </c>
      <c r="I46">
        <v>0</v>
      </c>
      <c r="L46" t="s">
        <v>1576</v>
      </c>
      <c r="M46">
        <v>4</v>
      </c>
      <c r="N46">
        <f t="shared" si="2"/>
        <v>0</v>
      </c>
      <c r="P46" t="s">
        <v>1576</v>
      </c>
      <c r="Q46">
        <v>4</v>
      </c>
      <c r="R46">
        <v>0</v>
      </c>
      <c r="S46">
        <f t="shared" si="3"/>
        <v>4</v>
      </c>
      <c r="T46">
        <f t="shared" si="4"/>
        <v>4</v>
      </c>
      <c r="U46">
        <f t="shared" si="5"/>
        <v>79</v>
      </c>
    </row>
    <row r="47" spans="1:21" x14ac:dyDescent="0.3">
      <c r="A47" t="s">
        <v>454</v>
      </c>
      <c r="B47">
        <v>8</v>
      </c>
      <c r="C47" t="str">
        <f t="shared" si="0"/>
        <v>0046</v>
      </c>
      <c r="D47" t="s">
        <v>1577</v>
      </c>
      <c r="F47" t="s">
        <v>1444</v>
      </c>
      <c r="G47" t="str">
        <f t="shared" si="1"/>
        <v>0045</v>
      </c>
      <c r="H47" t="s">
        <v>1576</v>
      </c>
      <c r="I47">
        <v>0</v>
      </c>
      <c r="L47" t="s">
        <v>1577</v>
      </c>
      <c r="M47">
        <v>8</v>
      </c>
      <c r="N47">
        <f t="shared" si="2"/>
        <v>0</v>
      </c>
      <c r="P47" t="s">
        <v>1577</v>
      </c>
      <c r="Q47">
        <v>8</v>
      </c>
      <c r="R47">
        <v>0</v>
      </c>
      <c r="S47">
        <f t="shared" si="3"/>
        <v>8</v>
      </c>
      <c r="T47">
        <f t="shared" si="4"/>
        <v>8</v>
      </c>
      <c r="U47">
        <f t="shared" si="5"/>
        <v>107</v>
      </c>
    </row>
    <row r="48" spans="1:21" x14ac:dyDescent="0.3">
      <c r="A48" t="s">
        <v>441</v>
      </c>
      <c r="B48">
        <v>4</v>
      </c>
      <c r="C48" t="str">
        <f t="shared" si="0"/>
        <v>0047</v>
      </c>
      <c r="D48" t="s">
        <v>1578</v>
      </c>
      <c r="F48" t="s">
        <v>914</v>
      </c>
      <c r="G48" t="str">
        <f t="shared" si="1"/>
        <v>0046</v>
      </c>
      <c r="H48" t="s">
        <v>1577</v>
      </c>
      <c r="I48">
        <v>0</v>
      </c>
      <c r="L48" t="s">
        <v>1578</v>
      </c>
      <c r="M48">
        <v>4</v>
      </c>
      <c r="N48">
        <f t="shared" si="2"/>
        <v>0</v>
      </c>
      <c r="P48" t="s">
        <v>1578</v>
      </c>
      <c r="Q48">
        <v>4</v>
      </c>
      <c r="R48">
        <v>0</v>
      </c>
      <c r="S48">
        <f t="shared" si="3"/>
        <v>4</v>
      </c>
      <c r="T48">
        <f t="shared" si="4"/>
        <v>4</v>
      </c>
      <c r="U48">
        <f t="shared" si="5"/>
        <v>79</v>
      </c>
    </row>
    <row r="49" spans="1:21" x14ac:dyDescent="0.3">
      <c r="A49" t="s">
        <v>302</v>
      </c>
      <c r="B49">
        <v>0</v>
      </c>
      <c r="C49" t="str">
        <f t="shared" si="0"/>
        <v>0048</v>
      </c>
      <c r="D49" t="s">
        <v>1579</v>
      </c>
      <c r="F49" t="s">
        <v>1512</v>
      </c>
      <c r="G49" t="str">
        <f t="shared" si="1"/>
        <v>0047</v>
      </c>
      <c r="H49" t="s">
        <v>1578</v>
      </c>
      <c r="I49">
        <v>0</v>
      </c>
      <c r="L49" t="s">
        <v>1579</v>
      </c>
      <c r="M49">
        <v>0</v>
      </c>
      <c r="N49">
        <f t="shared" si="2"/>
        <v>0</v>
      </c>
      <c r="P49" t="s">
        <v>1579</v>
      </c>
      <c r="Q49">
        <v>0</v>
      </c>
      <c r="R49">
        <v>0</v>
      </c>
      <c r="S49">
        <f t="shared" si="3"/>
        <v>0</v>
      </c>
      <c r="T49">
        <f t="shared" si="4"/>
        <v>0</v>
      </c>
      <c r="U49">
        <f t="shared" si="5"/>
        <v>23.5</v>
      </c>
    </row>
    <row r="50" spans="1:21" x14ac:dyDescent="0.3">
      <c r="A50" t="s">
        <v>525</v>
      </c>
      <c r="B50">
        <v>0</v>
      </c>
      <c r="C50" t="str">
        <f t="shared" si="0"/>
        <v>0049</v>
      </c>
      <c r="D50" t="s">
        <v>1580</v>
      </c>
      <c r="F50" t="s">
        <v>815</v>
      </c>
      <c r="G50" t="str">
        <f t="shared" si="1"/>
        <v>0048</v>
      </c>
      <c r="H50" t="s">
        <v>1579</v>
      </c>
      <c r="I50">
        <v>0</v>
      </c>
      <c r="L50" t="s">
        <v>1580</v>
      </c>
      <c r="M50">
        <v>0</v>
      </c>
      <c r="N50">
        <f t="shared" si="2"/>
        <v>0</v>
      </c>
      <c r="P50" t="s">
        <v>1580</v>
      </c>
      <c r="Q50">
        <v>0</v>
      </c>
      <c r="R50">
        <v>0</v>
      </c>
      <c r="S50">
        <f t="shared" si="3"/>
        <v>0</v>
      </c>
      <c r="T50">
        <f t="shared" si="4"/>
        <v>0</v>
      </c>
      <c r="U50">
        <f t="shared" si="5"/>
        <v>23.5</v>
      </c>
    </row>
    <row r="51" spans="1:21" x14ac:dyDescent="0.3">
      <c r="A51" t="s">
        <v>353</v>
      </c>
      <c r="B51">
        <v>4</v>
      </c>
      <c r="C51" t="str">
        <f t="shared" si="0"/>
        <v>0050</v>
      </c>
      <c r="D51" t="s">
        <v>1581</v>
      </c>
      <c r="F51" t="s">
        <v>1414</v>
      </c>
      <c r="G51" t="str">
        <f t="shared" si="1"/>
        <v>0049</v>
      </c>
      <c r="H51" t="s">
        <v>1580</v>
      </c>
      <c r="I51">
        <v>0</v>
      </c>
      <c r="L51" t="s">
        <v>1581</v>
      </c>
      <c r="M51">
        <v>4</v>
      </c>
      <c r="N51">
        <f t="shared" si="2"/>
        <v>6</v>
      </c>
      <c r="P51" t="s">
        <v>1581</v>
      </c>
      <c r="Q51">
        <v>4</v>
      </c>
      <c r="R51">
        <v>6</v>
      </c>
      <c r="S51">
        <f t="shared" si="3"/>
        <v>-2</v>
      </c>
      <c r="T51">
        <f t="shared" si="4"/>
        <v>2</v>
      </c>
      <c r="U51">
        <f t="shared" si="5"/>
        <v>1</v>
      </c>
    </row>
    <row r="52" spans="1:21" x14ac:dyDescent="0.3">
      <c r="A52" t="s">
        <v>446</v>
      </c>
      <c r="B52">
        <v>0</v>
      </c>
      <c r="C52" t="str">
        <f t="shared" si="0"/>
        <v>0051</v>
      </c>
      <c r="D52" t="s">
        <v>1582</v>
      </c>
      <c r="F52" t="s">
        <v>728</v>
      </c>
      <c r="G52" t="str">
        <f t="shared" si="1"/>
        <v>0050</v>
      </c>
      <c r="H52" t="s">
        <v>1581</v>
      </c>
      <c r="I52">
        <v>6</v>
      </c>
      <c r="L52" t="s">
        <v>1582</v>
      </c>
      <c r="M52">
        <v>0</v>
      </c>
      <c r="N52">
        <f t="shared" si="2"/>
        <v>0</v>
      </c>
      <c r="P52" t="s">
        <v>1582</v>
      </c>
      <c r="Q52">
        <v>0</v>
      </c>
      <c r="R52">
        <v>0</v>
      </c>
      <c r="S52">
        <f t="shared" si="3"/>
        <v>0</v>
      </c>
      <c r="T52">
        <f t="shared" si="4"/>
        <v>0</v>
      </c>
      <c r="U52">
        <f t="shared" si="5"/>
        <v>23.5</v>
      </c>
    </row>
    <row r="53" spans="1:21" x14ac:dyDescent="0.3">
      <c r="A53" t="s">
        <v>253</v>
      </c>
      <c r="B53">
        <v>8</v>
      </c>
      <c r="C53" t="str">
        <f t="shared" si="0"/>
        <v>0052</v>
      </c>
      <c r="D53" t="s">
        <v>1583</v>
      </c>
      <c r="F53" t="s">
        <v>543</v>
      </c>
      <c r="G53" t="str">
        <f t="shared" si="1"/>
        <v>0051</v>
      </c>
      <c r="H53" t="s">
        <v>1582</v>
      </c>
      <c r="I53">
        <v>0</v>
      </c>
      <c r="L53" t="s">
        <v>1583</v>
      </c>
      <c r="M53">
        <v>8</v>
      </c>
      <c r="N53">
        <f t="shared" si="2"/>
        <v>0</v>
      </c>
      <c r="P53" t="s">
        <v>1583</v>
      </c>
      <c r="Q53">
        <v>8</v>
      </c>
      <c r="R53">
        <v>0</v>
      </c>
      <c r="S53">
        <f t="shared" si="3"/>
        <v>8</v>
      </c>
      <c r="T53">
        <f t="shared" si="4"/>
        <v>8</v>
      </c>
      <c r="U53">
        <f t="shared" si="5"/>
        <v>107</v>
      </c>
    </row>
    <row r="54" spans="1:21" x14ac:dyDescent="0.3">
      <c r="A54" t="s">
        <v>238</v>
      </c>
      <c r="B54">
        <v>7</v>
      </c>
      <c r="C54" t="str">
        <f t="shared" si="0"/>
        <v>0053</v>
      </c>
      <c r="D54" t="s">
        <v>1584</v>
      </c>
      <c r="F54" t="s">
        <v>1034</v>
      </c>
      <c r="G54" t="str">
        <f t="shared" si="1"/>
        <v>0052</v>
      </c>
      <c r="H54" t="s">
        <v>1583</v>
      </c>
      <c r="I54">
        <v>0</v>
      </c>
      <c r="L54" t="s">
        <v>1584</v>
      </c>
      <c r="M54">
        <v>7</v>
      </c>
      <c r="N54">
        <f t="shared" si="2"/>
        <v>8</v>
      </c>
      <c r="P54" t="s">
        <v>1584</v>
      </c>
      <c r="Q54">
        <v>7</v>
      </c>
      <c r="R54">
        <v>8</v>
      </c>
      <c r="S54">
        <f t="shared" si="3"/>
        <v>-1</v>
      </c>
      <c r="T54">
        <f t="shared" si="4"/>
        <v>1</v>
      </c>
      <c r="U54">
        <f t="shared" si="5"/>
        <v>2.5</v>
      </c>
    </row>
    <row r="55" spans="1:21" x14ac:dyDescent="0.3">
      <c r="A55" t="s">
        <v>127</v>
      </c>
      <c r="B55">
        <v>6</v>
      </c>
      <c r="C55" t="str">
        <f t="shared" si="0"/>
        <v>0054</v>
      </c>
      <c r="D55" t="s">
        <v>1585</v>
      </c>
      <c r="F55" t="s">
        <v>1365</v>
      </c>
      <c r="G55" t="str">
        <f t="shared" si="1"/>
        <v>0053</v>
      </c>
      <c r="H55" t="s">
        <v>1584</v>
      </c>
      <c r="I55">
        <v>8</v>
      </c>
      <c r="L55" t="s">
        <v>1585</v>
      </c>
      <c r="M55">
        <v>6</v>
      </c>
      <c r="N55">
        <f t="shared" si="2"/>
        <v>0</v>
      </c>
      <c r="P55" t="s">
        <v>1585</v>
      </c>
      <c r="Q55">
        <v>6</v>
      </c>
      <c r="R55">
        <v>0</v>
      </c>
      <c r="S55">
        <f t="shared" si="3"/>
        <v>6</v>
      </c>
      <c r="T55">
        <f t="shared" si="4"/>
        <v>6</v>
      </c>
      <c r="U55">
        <f t="shared" si="5"/>
        <v>97.5</v>
      </c>
    </row>
    <row r="56" spans="1:21" x14ac:dyDescent="0.3">
      <c r="A56" t="s">
        <v>288</v>
      </c>
      <c r="B56">
        <v>7</v>
      </c>
      <c r="C56" t="str">
        <f t="shared" si="0"/>
        <v>0055</v>
      </c>
      <c r="D56" t="s">
        <v>1586</v>
      </c>
      <c r="F56" t="s">
        <v>811</v>
      </c>
      <c r="G56" t="str">
        <f t="shared" si="1"/>
        <v>0054</v>
      </c>
      <c r="H56" t="s">
        <v>1585</v>
      </c>
      <c r="I56">
        <v>0</v>
      </c>
      <c r="L56" t="s">
        <v>1586</v>
      </c>
      <c r="M56">
        <v>7</v>
      </c>
      <c r="N56">
        <f t="shared" si="2"/>
        <v>4</v>
      </c>
      <c r="P56" t="s">
        <v>1586</v>
      </c>
      <c r="Q56">
        <v>7</v>
      </c>
      <c r="R56">
        <v>4</v>
      </c>
      <c r="S56">
        <f t="shared" si="3"/>
        <v>3</v>
      </c>
      <c r="T56">
        <f t="shared" si="4"/>
        <v>3</v>
      </c>
      <c r="U56">
        <f t="shared" si="5"/>
        <v>72.5</v>
      </c>
    </row>
    <row r="57" spans="1:21" x14ac:dyDescent="0.3">
      <c r="A57" t="s">
        <v>233</v>
      </c>
      <c r="B57">
        <v>5</v>
      </c>
      <c r="C57" t="str">
        <f t="shared" si="0"/>
        <v>0056</v>
      </c>
      <c r="D57" t="s">
        <v>1587</v>
      </c>
      <c r="F57" t="s">
        <v>574</v>
      </c>
      <c r="G57" t="str">
        <f t="shared" si="1"/>
        <v>0055</v>
      </c>
      <c r="H57" t="s">
        <v>1586</v>
      </c>
      <c r="I57">
        <v>4</v>
      </c>
      <c r="L57" t="s">
        <v>1587</v>
      </c>
      <c r="M57">
        <v>5</v>
      </c>
      <c r="N57">
        <f t="shared" si="2"/>
        <v>4</v>
      </c>
      <c r="P57" t="s">
        <v>1587</v>
      </c>
      <c r="Q57">
        <v>5</v>
      </c>
      <c r="R57">
        <v>4</v>
      </c>
      <c r="S57">
        <f t="shared" si="3"/>
        <v>1</v>
      </c>
      <c r="T57">
        <f t="shared" si="4"/>
        <v>1</v>
      </c>
      <c r="U57">
        <f t="shared" si="5"/>
        <v>53</v>
      </c>
    </row>
    <row r="58" spans="1:21" x14ac:dyDescent="0.3">
      <c r="A58" t="s">
        <v>27</v>
      </c>
      <c r="B58">
        <v>0</v>
      </c>
      <c r="C58" t="str">
        <f t="shared" si="0"/>
        <v>0057</v>
      </c>
      <c r="D58" t="s">
        <v>1588</v>
      </c>
      <c r="F58" t="s">
        <v>1264</v>
      </c>
      <c r="G58" t="str">
        <f t="shared" si="1"/>
        <v>0056</v>
      </c>
      <c r="H58" t="s">
        <v>1587</v>
      </c>
      <c r="I58">
        <v>4</v>
      </c>
      <c r="L58" t="s">
        <v>1588</v>
      </c>
      <c r="M58">
        <v>0</v>
      </c>
      <c r="N58">
        <f t="shared" si="2"/>
        <v>0</v>
      </c>
      <c r="P58" t="s">
        <v>1588</v>
      </c>
      <c r="Q58">
        <v>0</v>
      </c>
      <c r="R58">
        <v>0</v>
      </c>
      <c r="S58">
        <f t="shared" si="3"/>
        <v>0</v>
      </c>
      <c r="T58">
        <f t="shared" si="4"/>
        <v>0</v>
      </c>
      <c r="U58">
        <f t="shared" si="5"/>
        <v>23.5</v>
      </c>
    </row>
    <row r="59" spans="1:21" x14ac:dyDescent="0.3">
      <c r="A59" t="s">
        <v>263</v>
      </c>
      <c r="B59">
        <v>5</v>
      </c>
      <c r="C59" t="str">
        <f t="shared" si="0"/>
        <v>0058</v>
      </c>
      <c r="D59" t="s">
        <v>1589</v>
      </c>
      <c r="F59" t="s">
        <v>684</v>
      </c>
      <c r="G59" t="str">
        <f t="shared" si="1"/>
        <v>0057</v>
      </c>
      <c r="H59" t="s">
        <v>1588</v>
      </c>
      <c r="I59">
        <v>0</v>
      </c>
      <c r="L59" t="s">
        <v>1589</v>
      </c>
      <c r="M59">
        <v>5</v>
      </c>
      <c r="N59">
        <f t="shared" si="2"/>
        <v>0</v>
      </c>
      <c r="P59" t="s">
        <v>1589</v>
      </c>
      <c r="Q59">
        <v>5</v>
      </c>
      <c r="R59">
        <v>0</v>
      </c>
      <c r="S59">
        <f t="shared" si="3"/>
        <v>5</v>
      </c>
      <c r="T59">
        <f t="shared" si="4"/>
        <v>5</v>
      </c>
      <c r="U59">
        <f t="shared" si="5"/>
        <v>87.5</v>
      </c>
    </row>
    <row r="60" spans="1:21" x14ac:dyDescent="0.3">
      <c r="A60" t="s">
        <v>506</v>
      </c>
      <c r="B60">
        <v>5</v>
      </c>
      <c r="C60" t="str">
        <f t="shared" si="0"/>
        <v>0059</v>
      </c>
      <c r="D60" t="s">
        <v>1590</v>
      </c>
      <c r="F60" t="s">
        <v>896</v>
      </c>
      <c r="G60" t="str">
        <f t="shared" si="1"/>
        <v>0058</v>
      </c>
      <c r="H60" t="s">
        <v>1589</v>
      </c>
      <c r="I60">
        <v>0</v>
      </c>
      <c r="L60" t="s">
        <v>1590</v>
      </c>
      <c r="M60">
        <v>5</v>
      </c>
      <c r="N60">
        <f t="shared" si="2"/>
        <v>4</v>
      </c>
      <c r="P60" t="s">
        <v>1590</v>
      </c>
      <c r="Q60">
        <v>5</v>
      </c>
      <c r="R60">
        <v>4</v>
      </c>
      <c r="S60">
        <f t="shared" si="3"/>
        <v>1</v>
      </c>
      <c r="T60">
        <f t="shared" si="4"/>
        <v>1</v>
      </c>
      <c r="U60">
        <f t="shared" si="5"/>
        <v>53</v>
      </c>
    </row>
    <row r="61" spans="1:21" x14ac:dyDescent="0.3">
      <c r="A61" t="s">
        <v>496</v>
      </c>
      <c r="B61">
        <v>4</v>
      </c>
      <c r="C61" t="str">
        <f t="shared" si="0"/>
        <v>0060</v>
      </c>
      <c r="D61" t="s">
        <v>1591</v>
      </c>
      <c r="F61" t="s">
        <v>663</v>
      </c>
      <c r="G61" t="str">
        <f t="shared" si="1"/>
        <v>0059</v>
      </c>
      <c r="H61" t="s">
        <v>1590</v>
      </c>
      <c r="I61">
        <v>4</v>
      </c>
      <c r="L61" t="s">
        <v>1591</v>
      </c>
      <c r="M61">
        <v>4</v>
      </c>
      <c r="N61">
        <f t="shared" si="2"/>
        <v>0</v>
      </c>
      <c r="P61" t="s">
        <v>1591</v>
      </c>
      <c r="Q61">
        <v>4</v>
      </c>
      <c r="R61">
        <v>0</v>
      </c>
      <c r="S61">
        <f t="shared" si="3"/>
        <v>4</v>
      </c>
      <c r="T61">
        <f t="shared" si="4"/>
        <v>4</v>
      </c>
      <c r="U61">
        <f t="shared" si="5"/>
        <v>79</v>
      </c>
    </row>
    <row r="62" spans="1:21" x14ac:dyDescent="0.3">
      <c r="A62" t="s">
        <v>310</v>
      </c>
      <c r="B62">
        <v>6</v>
      </c>
      <c r="C62" t="str">
        <f t="shared" si="0"/>
        <v>0061</v>
      </c>
      <c r="D62" t="s">
        <v>1592</v>
      </c>
      <c r="F62" t="s">
        <v>1319</v>
      </c>
      <c r="G62" t="str">
        <f t="shared" si="1"/>
        <v>0060</v>
      </c>
      <c r="H62" t="s">
        <v>1591</v>
      </c>
      <c r="I62">
        <v>0</v>
      </c>
      <c r="L62" t="s">
        <v>1592</v>
      </c>
      <c r="M62">
        <v>6</v>
      </c>
      <c r="N62">
        <f t="shared" si="2"/>
        <v>0</v>
      </c>
      <c r="P62" t="s">
        <v>1592</v>
      </c>
      <c r="Q62">
        <v>6</v>
      </c>
      <c r="R62">
        <v>0</v>
      </c>
      <c r="S62">
        <f t="shared" si="3"/>
        <v>6</v>
      </c>
      <c r="T62">
        <f t="shared" si="4"/>
        <v>6</v>
      </c>
      <c r="U62">
        <f t="shared" si="5"/>
        <v>97.5</v>
      </c>
    </row>
    <row r="63" spans="1:21" x14ac:dyDescent="0.3">
      <c r="A63" t="s">
        <v>117</v>
      </c>
      <c r="B63">
        <v>5</v>
      </c>
      <c r="C63" t="str">
        <f t="shared" si="0"/>
        <v>0062</v>
      </c>
      <c r="D63" t="s">
        <v>1593</v>
      </c>
      <c r="F63" t="s">
        <v>943</v>
      </c>
      <c r="G63" t="str">
        <f t="shared" si="1"/>
        <v>0061</v>
      </c>
      <c r="H63" t="s">
        <v>1592</v>
      </c>
      <c r="I63">
        <v>0</v>
      </c>
      <c r="L63" t="s">
        <v>1593</v>
      </c>
      <c r="M63">
        <v>5</v>
      </c>
      <c r="N63">
        <f t="shared" si="2"/>
        <v>4</v>
      </c>
      <c r="P63" t="s">
        <v>1593</v>
      </c>
      <c r="Q63">
        <v>5</v>
      </c>
      <c r="R63">
        <v>4</v>
      </c>
      <c r="S63">
        <f t="shared" si="3"/>
        <v>1</v>
      </c>
      <c r="T63">
        <f t="shared" si="4"/>
        <v>1</v>
      </c>
      <c r="U63">
        <f t="shared" si="5"/>
        <v>53</v>
      </c>
    </row>
    <row r="64" spans="1:21" x14ac:dyDescent="0.3">
      <c r="A64" t="s">
        <v>78</v>
      </c>
      <c r="B64">
        <v>6</v>
      </c>
      <c r="C64" t="str">
        <f t="shared" si="0"/>
        <v>0063</v>
      </c>
      <c r="D64" t="s">
        <v>1594</v>
      </c>
      <c r="F64" t="s">
        <v>569</v>
      </c>
      <c r="G64" t="str">
        <f t="shared" si="1"/>
        <v>0062</v>
      </c>
      <c r="H64" t="s">
        <v>1593</v>
      </c>
      <c r="I64">
        <v>4</v>
      </c>
      <c r="L64" t="s">
        <v>1594</v>
      </c>
      <c r="M64">
        <v>6</v>
      </c>
      <c r="N64">
        <f t="shared" si="2"/>
        <v>6</v>
      </c>
      <c r="P64" t="s">
        <v>1594</v>
      </c>
      <c r="Q64">
        <v>6</v>
      </c>
      <c r="R64">
        <v>6</v>
      </c>
      <c r="S64">
        <f t="shared" si="3"/>
        <v>0</v>
      </c>
      <c r="T64">
        <f t="shared" si="4"/>
        <v>0</v>
      </c>
      <c r="U64">
        <f t="shared" si="5"/>
        <v>23.5</v>
      </c>
    </row>
    <row r="65" spans="1:21" x14ac:dyDescent="0.3">
      <c r="A65" t="s">
        <v>12</v>
      </c>
      <c r="B65">
        <v>7</v>
      </c>
      <c r="C65" t="str">
        <f t="shared" si="0"/>
        <v>0064</v>
      </c>
      <c r="D65" t="s">
        <v>1595</v>
      </c>
      <c r="F65" t="s">
        <v>579</v>
      </c>
      <c r="G65" t="str">
        <f t="shared" si="1"/>
        <v>0063</v>
      </c>
      <c r="H65" t="s">
        <v>1594</v>
      </c>
      <c r="I65">
        <v>6</v>
      </c>
      <c r="L65" t="s">
        <v>1595</v>
      </c>
      <c r="M65">
        <v>7</v>
      </c>
      <c r="N65">
        <f t="shared" si="2"/>
        <v>7</v>
      </c>
      <c r="P65" t="s">
        <v>1595</v>
      </c>
      <c r="Q65">
        <v>7</v>
      </c>
      <c r="R65">
        <v>7</v>
      </c>
      <c r="S65">
        <f t="shared" si="3"/>
        <v>0</v>
      </c>
      <c r="T65">
        <f t="shared" si="4"/>
        <v>0</v>
      </c>
      <c r="U65">
        <f t="shared" si="5"/>
        <v>23.5</v>
      </c>
    </row>
    <row r="66" spans="1:21" x14ac:dyDescent="0.3">
      <c r="A66" t="s">
        <v>69</v>
      </c>
      <c r="B66">
        <v>8</v>
      </c>
      <c r="C66" t="str">
        <f t="shared" si="0"/>
        <v>0065</v>
      </c>
      <c r="D66" t="s">
        <v>1596</v>
      </c>
      <c r="F66" t="s">
        <v>688</v>
      </c>
      <c r="G66" t="str">
        <f t="shared" si="1"/>
        <v>0064</v>
      </c>
      <c r="H66" t="s">
        <v>1595</v>
      </c>
      <c r="I66">
        <v>7</v>
      </c>
      <c r="L66" t="s">
        <v>1596</v>
      </c>
      <c r="M66">
        <v>8</v>
      </c>
      <c r="N66">
        <f t="shared" si="2"/>
        <v>7</v>
      </c>
      <c r="P66" t="s">
        <v>1596</v>
      </c>
      <c r="Q66">
        <v>8</v>
      </c>
      <c r="R66">
        <v>7</v>
      </c>
      <c r="S66">
        <f t="shared" si="3"/>
        <v>1</v>
      </c>
      <c r="T66">
        <f t="shared" si="4"/>
        <v>1</v>
      </c>
      <c r="U66">
        <f t="shared" si="5"/>
        <v>53</v>
      </c>
    </row>
    <row r="67" spans="1:21" x14ac:dyDescent="0.3">
      <c r="A67" t="s">
        <v>392</v>
      </c>
      <c r="B67">
        <v>5</v>
      </c>
      <c r="C67" t="str">
        <f t="shared" ref="C67:C112" si="6">LEFT(RIGHT(A67,8),4)</f>
        <v>0066</v>
      </c>
      <c r="D67" t="s">
        <v>1597</v>
      </c>
      <c r="F67" t="s">
        <v>788</v>
      </c>
      <c r="G67" t="str">
        <f t="shared" ref="G67:G130" si="7">LEFT(RIGHT(F67,8),4)</f>
        <v>0065</v>
      </c>
      <c r="H67" t="s">
        <v>1596</v>
      </c>
      <c r="I67">
        <v>7</v>
      </c>
      <c r="L67" t="s">
        <v>1597</v>
      </c>
      <c r="M67">
        <v>5</v>
      </c>
      <c r="N67">
        <f t="shared" ref="N67:N112" si="8">VLOOKUP(L67,$G$2:$I$223,3,FALSE)</f>
        <v>0</v>
      </c>
      <c r="P67" t="s">
        <v>1597</v>
      </c>
      <c r="Q67">
        <v>5</v>
      </c>
      <c r="R67">
        <v>0</v>
      </c>
      <c r="S67">
        <f t="shared" ref="S67:S112" si="9">Q67-R67</f>
        <v>5</v>
      </c>
      <c r="T67">
        <f t="shared" ref="T67:T112" si="10">ABS(S67)</f>
        <v>5</v>
      </c>
      <c r="U67">
        <f t="shared" ref="U67:U112" si="11">_xlfn.RANK.AVG(S67,$S$2:$S$112,1)</f>
        <v>87.5</v>
      </c>
    </row>
    <row r="68" spans="1:21" x14ac:dyDescent="0.3">
      <c r="A68" t="s">
        <v>258</v>
      </c>
      <c r="B68">
        <v>4</v>
      </c>
      <c r="C68" t="str">
        <f t="shared" si="6"/>
        <v>0067</v>
      </c>
      <c r="D68" t="s">
        <v>1598</v>
      </c>
      <c r="F68" t="s">
        <v>874</v>
      </c>
      <c r="G68" t="str">
        <f t="shared" si="7"/>
        <v>0066</v>
      </c>
      <c r="H68" t="s">
        <v>1597</v>
      </c>
      <c r="I68">
        <v>0</v>
      </c>
      <c r="L68" t="s">
        <v>1598</v>
      </c>
      <c r="M68">
        <v>4</v>
      </c>
      <c r="N68">
        <f t="shared" si="8"/>
        <v>5</v>
      </c>
      <c r="P68" t="s">
        <v>1598</v>
      </c>
      <c r="Q68">
        <v>4</v>
      </c>
      <c r="R68">
        <v>5</v>
      </c>
      <c r="S68">
        <f t="shared" si="9"/>
        <v>-1</v>
      </c>
      <c r="T68">
        <f t="shared" si="10"/>
        <v>1</v>
      </c>
      <c r="U68">
        <f t="shared" si="11"/>
        <v>2.5</v>
      </c>
    </row>
    <row r="69" spans="1:21" x14ac:dyDescent="0.3">
      <c r="A69" t="s">
        <v>383</v>
      </c>
      <c r="B69">
        <v>0</v>
      </c>
      <c r="C69" t="str">
        <f t="shared" si="6"/>
        <v>0068</v>
      </c>
      <c r="D69" t="s">
        <v>1599</v>
      </c>
      <c r="F69" t="s">
        <v>623</v>
      </c>
      <c r="G69" t="str">
        <f t="shared" si="7"/>
        <v>0067</v>
      </c>
      <c r="H69" t="s">
        <v>1598</v>
      </c>
      <c r="I69">
        <v>5</v>
      </c>
      <c r="L69" t="s">
        <v>1599</v>
      </c>
      <c r="M69">
        <v>0</v>
      </c>
      <c r="N69">
        <f t="shared" si="8"/>
        <v>0</v>
      </c>
      <c r="P69" t="s">
        <v>1599</v>
      </c>
      <c r="Q69">
        <v>0</v>
      </c>
      <c r="R69">
        <v>0</v>
      </c>
      <c r="S69">
        <f t="shared" si="9"/>
        <v>0</v>
      </c>
      <c r="T69">
        <f t="shared" si="10"/>
        <v>0</v>
      </c>
      <c r="U69">
        <f t="shared" si="11"/>
        <v>23.5</v>
      </c>
    </row>
    <row r="70" spans="1:21" x14ac:dyDescent="0.3">
      <c r="A70" t="s">
        <v>88</v>
      </c>
      <c r="B70">
        <v>5</v>
      </c>
      <c r="C70" t="str">
        <f t="shared" si="6"/>
        <v>0069</v>
      </c>
      <c r="D70" t="s">
        <v>1600</v>
      </c>
      <c r="F70" t="s">
        <v>900</v>
      </c>
      <c r="G70" t="str">
        <f t="shared" si="7"/>
        <v>0068</v>
      </c>
      <c r="H70" t="s">
        <v>1599</v>
      </c>
      <c r="I70">
        <v>0</v>
      </c>
      <c r="L70" t="s">
        <v>1600</v>
      </c>
      <c r="M70">
        <v>5</v>
      </c>
      <c r="N70">
        <f t="shared" si="8"/>
        <v>0</v>
      </c>
      <c r="P70" t="s">
        <v>1600</v>
      </c>
      <c r="Q70">
        <v>5</v>
      </c>
      <c r="R70">
        <v>0</v>
      </c>
      <c r="S70">
        <f t="shared" si="9"/>
        <v>5</v>
      </c>
      <c r="T70">
        <f t="shared" si="10"/>
        <v>5</v>
      </c>
      <c r="U70">
        <f t="shared" si="11"/>
        <v>87.5</v>
      </c>
    </row>
    <row r="71" spans="1:21" x14ac:dyDescent="0.3">
      <c r="A71" t="s">
        <v>450</v>
      </c>
      <c r="B71">
        <v>0</v>
      </c>
      <c r="C71" t="str">
        <f t="shared" si="6"/>
        <v>0070</v>
      </c>
      <c r="D71" t="s">
        <v>1601</v>
      </c>
      <c r="F71" t="s">
        <v>672</v>
      </c>
      <c r="G71" t="str">
        <f t="shared" si="7"/>
        <v>0069</v>
      </c>
      <c r="H71" t="s">
        <v>1600</v>
      </c>
      <c r="I71">
        <v>0</v>
      </c>
      <c r="L71" t="s">
        <v>1601</v>
      </c>
      <c r="M71">
        <v>0</v>
      </c>
      <c r="N71">
        <f t="shared" si="8"/>
        <v>0</v>
      </c>
      <c r="P71" t="s">
        <v>1601</v>
      </c>
      <c r="Q71">
        <v>0</v>
      </c>
      <c r="R71">
        <v>0</v>
      </c>
      <c r="S71">
        <f t="shared" si="9"/>
        <v>0</v>
      </c>
      <c r="T71">
        <f t="shared" si="10"/>
        <v>0</v>
      </c>
      <c r="U71">
        <f t="shared" si="11"/>
        <v>23.5</v>
      </c>
    </row>
    <row r="72" spans="1:21" x14ac:dyDescent="0.3">
      <c r="A72" t="s">
        <v>51</v>
      </c>
      <c r="B72">
        <v>0</v>
      </c>
      <c r="C72" t="str">
        <f t="shared" si="6"/>
        <v>0071</v>
      </c>
      <c r="D72" t="s">
        <v>1602</v>
      </c>
      <c r="F72" t="s">
        <v>952</v>
      </c>
      <c r="G72" t="str">
        <f t="shared" si="7"/>
        <v>0070</v>
      </c>
      <c r="H72" t="s">
        <v>1601</v>
      </c>
      <c r="I72">
        <v>0</v>
      </c>
      <c r="L72" t="s">
        <v>1602</v>
      </c>
      <c r="M72">
        <v>0</v>
      </c>
      <c r="N72">
        <f t="shared" si="8"/>
        <v>0</v>
      </c>
      <c r="P72" t="s">
        <v>1602</v>
      </c>
      <c r="Q72">
        <v>0</v>
      </c>
      <c r="R72">
        <v>0</v>
      </c>
      <c r="S72">
        <f t="shared" si="9"/>
        <v>0</v>
      </c>
      <c r="T72">
        <f t="shared" si="10"/>
        <v>0</v>
      </c>
      <c r="U72">
        <f t="shared" si="11"/>
        <v>23.5</v>
      </c>
    </row>
    <row r="73" spans="1:21" x14ac:dyDescent="0.3">
      <c r="A73" t="s">
        <v>46</v>
      </c>
      <c r="B73">
        <v>3</v>
      </c>
      <c r="C73" t="str">
        <f t="shared" si="6"/>
        <v>0072</v>
      </c>
      <c r="D73" t="s">
        <v>1603</v>
      </c>
      <c r="F73" t="s">
        <v>1435</v>
      </c>
      <c r="G73" t="str">
        <f t="shared" si="7"/>
        <v>0071</v>
      </c>
      <c r="H73" t="s">
        <v>1602</v>
      </c>
      <c r="I73">
        <v>0</v>
      </c>
      <c r="L73" t="s">
        <v>1603</v>
      </c>
      <c r="M73">
        <v>3</v>
      </c>
      <c r="N73">
        <f t="shared" si="8"/>
        <v>0</v>
      </c>
      <c r="P73" t="s">
        <v>1603</v>
      </c>
      <c r="Q73">
        <v>3</v>
      </c>
      <c r="R73">
        <v>0</v>
      </c>
      <c r="S73">
        <f t="shared" si="9"/>
        <v>3</v>
      </c>
      <c r="T73">
        <f t="shared" si="10"/>
        <v>3</v>
      </c>
      <c r="U73">
        <f t="shared" si="11"/>
        <v>72.5</v>
      </c>
    </row>
    <row r="74" spans="1:21" x14ac:dyDescent="0.3">
      <c r="A74" t="s">
        <v>195</v>
      </c>
      <c r="B74">
        <v>0</v>
      </c>
      <c r="C74" t="str">
        <f t="shared" si="6"/>
        <v>0073</v>
      </c>
      <c r="D74" t="s">
        <v>1604</v>
      </c>
      <c r="F74" t="s">
        <v>1393</v>
      </c>
      <c r="G74" t="str">
        <f t="shared" si="7"/>
        <v>0072</v>
      </c>
      <c r="H74" t="s">
        <v>1603</v>
      </c>
      <c r="I74">
        <v>0</v>
      </c>
      <c r="L74" t="s">
        <v>1604</v>
      </c>
      <c r="M74">
        <v>0</v>
      </c>
      <c r="N74">
        <f t="shared" si="8"/>
        <v>0</v>
      </c>
      <c r="P74" t="s">
        <v>1604</v>
      </c>
      <c r="Q74">
        <v>0</v>
      </c>
      <c r="R74">
        <v>0</v>
      </c>
      <c r="S74">
        <f t="shared" si="9"/>
        <v>0</v>
      </c>
      <c r="T74">
        <f t="shared" si="10"/>
        <v>0</v>
      </c>
      <c r="U74">
        <f t="shared" si="11"/>
        <v>23.5</v>
      </c>
    </row>
    <row r="75" spans="1:21" x14ac:dyDescent="0.3">
      <c r="A75" t="s">
        <v>107</v>
      </c>
      <c r="B75">
        <v>5</v>
      </c>
      <c r="C75" t="str">
        <f t="shared" si="6"/>
        <v>0074</v>
      </c>
      <c r="D75" t="s">
        <v>1605</v>
      </c>
      <c r="F75" t="s">
        <v>1150</v>
      </c>
      <c r="G75" t="str">
        <f t="shared" si="7"/>
        <v>0073</v>
      </c>
      <c r="H75" t="s">
        <v>1604</v>
      </c>
      <c r="I75">
        <v>0</v>
      </c>
      <c r="L75" t="s">
        <v>1605</v>
      </c>
      <c r="M75">
        <v>5</v>
      </c>
      <c r="N75">
        <f t="shared" si="8"/>
        <v>0</v>
      </c>
      <c r="P75" t="s">
        <v>1605</v>
      </c>
      <c r="Q75">
        <v>5</v>
      </c>
      <c r="R75">
        <v>0</v>
      </c>
      <c r="S75">
        <f t="shared" si="9"/>
        <v>5</v>
      </c>
      <c r="T75">
        <f t="shared" si="10"/>
        <v>5</v>
      </c>
      <c r="U75">
        <f t="shared" si="11"/>
        <v>87.5</v>
      </c>
    </row>
    <row r="76" spans="1:21" x14ac:dyDescent="0.3">
      <c r="A76" t="s">
        <v>162</v>
      </c>
      <c r="B76">
        <v>0</v>
      </c>
      <c r="C76" t="str">
        <f t="shared" si="6"/>
        <v>0075</v>
      </c>
      <c r="D76" t="s">
        <v>1606</v>
      </c>
      <c r="F76" t="s">
        <v>1100</v>
      </c>
      <c r="G76" t="str">
        <f t="shared" si="7"/>
        <v>0074</v>
      </c>
      <c r="H76" t="s">
        <v>1605</v>
      </c>
      <c r="I76">
        <v>0</v>
      </c>
      <c r="L76" t="s">
        <v>1606</v>
      </c>
      <c r="M76">
        <v>0</v>
      </c>
      <c r="N76">
        <f t="shared" si="8"/>
        <v>0</v>
      </c>
      <c r="P76" t="s">
        <v>1606</v>
      </c>
      <c r="Q76">
        <v>0</v>
      </c>
      <c r="R76">
        <v>0</v>
      </c>
      <c r="S76">
        <f t="shared" si="9"/>
        <v>0</v>
      </c>
      <c r="T76">
        <f t="shared" si="10"/>
        <v>0</v>
      </c>
      <c r="U76">
        <f t="shared" si="11"/>
        <v>23.5</v>
      </c>
    </row>
    <row r="77" spans="1:21" x14ac:dyDescent="0.3">
      <c r="A77" t="s">
        <v>224</v>
      </c>
      <c r="B77">
        <v>4</v>
      </c>
      <c r="C77" t="str">
        <f t="shared" si="6"/>
        <v>0076</v>
      </c>
      <c r="D77" t="s">
        <v>1607</v>
      </c>
      <c r="F77" t="s">
        <v>1481</v>
      </c>
      <c r="G77" t="str">
        <f t="shared" si="7"/>
        <v>0075</v>
      </c>
      <c r="H77" t="s">
        <v>1606</v>
      </c>
      <c r="I77">
        <v>0</v>
      </c>
      <c r="L77" t="s">
        <v>1607</v>
      </c>
      <c r="M77">
        <v>4</v>
      </c>
      <c r="N77">
        <f t="shared" si="8"/>
        <v>0</v>
      </c>
      <c r="P77" t="s">
        <v>1607</v>
      </c>
      <c r="Q77">
        <v>4</v>
      </c>
      <c r="R77">
        <v>0</v>
      </c>
      <c r="S77">
        <f t="shared" si="9"/>
        <v>4</v>
      </c>
      <c r="T77">
        <f t="shared" si="10"/>
        <v>4</v>
      </c>
      <c r="U77">
        <f t="shared" si="11"/>
        <v>79</v>
      </c>
    </row>
    <row r="78" spans="1:21" x14ac:dyDescent="0.3">
      <c r="A78" t="s">
        <v>22</v>
      </c>
      <c r="B78">
        <v>0</v>
      </c>
      <c r="C78" t="str">
        <f t="shared" si="6"/>
        <v>0077</v>
      </c>
      <c r="D78" t="s">
        <v>1608</v>
      </c>
      <c r="F78" t="s">
        <v>1127</v>
      </c>
      <c r="G78" t="str">
        <f t="shared" si="7"/>
        <v>0076</v>
      </c>
      <c r="H78" t="s">
        <v>1607</v>
      </c>
      <c r="I78">
        <v>0</v>
      </c>
      <c r="L78" t="s">
        <v>1608</v>
      </c>
      <c r="M78">
        <v>0</v>
      </c>
      <c r="N78">
        <f t="shared" si="8"/>
        <v>0</v>
      </c>
      <c r="P78" t="s">
        <v>1608</v>
      </c>
      <c r="Q78">
        <v>0</v>
      </c>
      <c r="R78">
        <v>0</v>
      </c>
      <c r="S78">
        <f t="shared" si="9"/>
        <v>0</v>
      </c>
      <c r="T78">
        <f t="shared" si="10"/>
        <v>0</v>
      </c>
      <c r="U78">
        <f t="shared" si="11"/>
        <v>23.5</v>
      </c>
    </row>
    <row r="79" spans="1:21" x14ac:dyDescent="0.3">
      <c r="A79" t="s">
        <v>142</v>
      </c>
      <c r="B79">
        <v>9</v>
      </c>
      <c r="C79" t="str">
        <f t="shared" si="6"/>
        <v>0078</v>
      </c>
      <c r="D79" t="s">
        <v>1609</v>
      </c>
      <c r="F79" t="s">
        <v>1237</v>
      </c>
      <c r="G79" t="str">
        <f t="shared" si="7"/>
        <v>0077</v>
      </c>
      <c r="H79" t="s">
        <v>1608</v>
      </c>
      <c r="I79">
        <v>0</v>
      </c>
      <c r="L79" t="s">
        <v>1609</v>
      </c>
      <c r="M79">
        <v>9</v>
      </c>
      <c r="N79">
        <f t="shared" si="8"/>
        <v>7</v>
      </c>
      <c r="P79" t="s">
        <v>1609</v>
      </c>
      <c r="Q79">
        <v>9</v>
      </c>
      <c r="R79">
        <v>7</v>
      </c>
      <c r="S79">
        <f t="shared" si="9"/>
        <v>2</v>
      </c>
      <c r="T79">
        <f t="shared" si="10"/>
        <v>2</v>
      </c>
      <c r="U79">
        <f t="shared" si="11"/>
        <v>66</v>
      </c>
    </row>
    <row r="80" spans="1:21" x14ac:dyDescent="0.3">
      <c r="A80" t="s">
        <v>176</v>
      </c>
      <c r="B80">
        <v>9</v>
      </c>
      <c r="C80" t="str">
        <f t="shared" si="6"/>
        <v>0079</v>
      </c>
      <c r="D80" t="s">
        <v>1610</v>
      </c>
      <c r="F80" t="s">
        <v>775</v>
      </c>
      <c r="G80" t="str">
        <f t="shared" si="7"/>
        <v>0078</v>
      </c>
      <c r="H80" t="s">
        <v>1609</v>
      </c>
      <c r="I80">
        <v>7</v>
      </c>
      <c r="L80" t="s">
        <v>1610</v>
      </c>
      <c r="M80">
        <v>9</v>
      </c>
      <c r="N80">
        <f t="shared" si="8"/>
        <v>6</v>
      </c>
      <c r="P80" t="s">
        <v>1610</v>
      </c>
      <c r="Q80">
        <v>9</v>
      </c>
      <c r="R80">
        <v>6</v>
      </c>
      <c r="S80">
        <f t="shared" si="9"/>
        <v>3</v>
      </c>
      <c r="T80">
        <f t="shared" si="10"/>
        <v>3</v>
      </c>
      <c r="U80">
        <f t="shared" si="11"/>
        <v>72.5</v>
      </c>
    </row>
    <row r="81" spans="1:21" x14ac:dyDescent="0.3">
      <c r="A81" t="s">
        <v>501</v>
      </c>
      <c r="B81">
        <v>7</v>
      </c>
      <c r="C81" t="str">
        <f t="shared" si="6"/>
        <v>0080</v>
      </c>
      <c r="D81" t="s">
        <v>1611</v>
      </c>
      <c r="F81" t="s">
        <v>1066</v>
      </c>
      <c r="G81" t="str">
        <f t="shared" si="7"/>
        <v>0079</v>
      </c>
      <c r="H81" t="s">
        <v>1610</v>
      </c>
      <c r="I81">
        <v>6</v>
      </c>
      <c r="L81" t="s">
        <v>1611</v>
      </c>
      <c r="M81">
        <v>7</v>
      </c>
      <c r="N81">
        <f t="shared" si="8"/>
        <v>0</v>
      </c>
      <c r="P81" t="s">
        <v>1611</v>
      </c>
      <c r="Q81">
        <v>7</v>
      </c>
      <c r="R81">
        <v>0</v>
      </c>
      <c r="S81">
        <f t="shared" si="9"/>
        <v>7</v>
      </c>
      <c r="T81">
        <f t="shared" si="10"/>
        <v>7</v>
      </c>
      <c r="U81">
        <f t="shared" si="11"/>
        <v>103.5</v>
      </c>
    </row>
    <row r="82" spans="1:21" x14ac:dyDescent="0.3">
      <c r="A82" t="s">
        <v>521</v>
      </c>
      <c r="B82">
        <v>0</v>
      </c>
      <c r="C82" t="str">
        <f t="shared" si="6"/>
        <v>0081</v>
      </c>
      <c r="D82" t="s">
        <v>1612</v>
      </c>
      <c r="F82" t="s">
        <v>851</v>
      </c>
      <c r="G82" t="str">
        <f t="shared" si="7"/>
        <v>0080</v>
      </c>
      <c r="H82" t="s">
        <v>1611</v>
      </c>
      <c r="I82">
        <v>0</v>
      </c>
      <c r="L82" t="s">
        <v>1612</v>
      </c>
      <c r="M82">
        <v>0</v>
      </c>
      <c r="N82">
        <f t="shared" si="8"/>
        <v>0</v>
      </c>
      <c r="P82" t="s">
        <v>1612</v>
      </c>
      <c r="Q82">
        <v>0</v>
      </c>
      <c r="R82">
        <v>0</v>
      </c>
      <c r="S82">
        <f t="shared" si="9"/>
        <v>0</v>
      </c>
      <c r="T82">
        <f t="shared" si="10"/>
        <v>0</v>
      </c>
      <c r="U82">
        <f t="shared" si="11"/>
        <v>23.5</v>
      </c>
    </row>
    <row r="83" spans="1:21" x14ac:dyDescent="0.3">
      <c r="A83" t="s">
        <v>325</v>
      </c>
      <c r="B83">
        <v>0</v>
      </c>
      <c r="C83" t="str">
        <f t="shared" si="6"/>
        <v>0082</v>
      </c>
      <c r="D83" t="s">
        <v>1613</v>
      </c>
      <c r="F83" t="s">
        <v>1499</v>
      </c>
      <c r="G83" t="str">
        <f t="shared" si="7"/>
        <v>0081</v>
      </c>
      <c r="H83" t="s">
        <v>1612</v>
      </c>
      <c r="I83">
        <v>0</v>
      </c>
      <c r="L83" t="s">
        <v>1613</v>
      </c>
      <c r="M83">
        <v>0</v>
      </c>
      <c r="N83">
        <f t="shared" si="8"/>
        <v>0</v>
      </c>
      <c r="P83" t="s">
        <v>1613</v>
      </c>
      <c r="Q83">
        <v>0</v>
      </c>
      <c r="R83">
        <v>0</v>
      </c>
      <c r="S83">
        <f t="shared" si="9"/>
        <v>0</v>
      </c>
      <c r="T83">
        <f t="shared" si="10"/>
        <v>0</v>
      </c>
      <c r="U83">
        <f t="shared" si="11"/>
        <v>23.5</v>
      </c>
    </row>
    <row r="84" spans="1:21" x14ac:dyDescent="0.3">
      <c r="A84" t="s">
        <v>137</v>
      </c>
      <c r="B84">
        <v>6</v>
      </c>
      <c r="C84" t="str">
        <f t="shared" si="6"/>
        <v>0083</v>
      </c>
      <c r="D84" t="s">
        <v>1614</v>
      </c>
      <c r="F84" t="s">
        <v>930</v>
      </c>
      <c r="G84" t="str">
        <f t="shared" si="7"/>
        <v>0082</v>
      </c>
      <c r="H84" t="s">
        <v>1613</v>
      </c>
      <c r="I84">
        <v>0</v>
      </c>
      <c r="L84" t="s">
        <v>1614</v>
      </c>
      <c r="M84">
        <v>6</v>
      </c>
      <c r="N84">
        <f t="shared" si="8"/>
        <v>6</v>
      </c>
      <c r="P84" t="s">
        <v>1614</v>
      </c>
      <c r="Q84">
        <v>6</v>
      </c>
      <c r="R84">
        <v>6</v>
      </c>
      <c r="S84">
        <f t="shared" si="9"/>
        <v>0</v>
      </c>
      <c r="T84">
        <f t="shared" si="10"/>
        <v>0</v>
      </c>
      <c r="U84">
        <f t="shared" si="11"/>
        <v>23.5</v>
      </c>
    </row>
    <row r="85" spans="1:21" x14ac:dyDescent="0.3">
      <c r="A85" t="s">
        <v>306</v>
      </c>
      <c r="B85">
        <v>0</v>
      </c>
      <c r="C85" t="str">
        <f t="shared" si="6"/>
        <v>0084</v>
      </c>
      <c r="D85" t="s">
        <v>1615</v>
      </c>
      <c r="F85" t="s">
        <v>1166</v>
      </c>
      <c r="G85" t="str">
        <f t="shared" si="7"/>
        <v>0083</v>
      </c>
      <c r="H85" t="s">
        <v>1614</v>
      </c>
      <c r="I85">
        <v>6</v>
      </c>
      <c r="L85" t="s">
        <v>1615</v>
      </c>
      <c r="M85">
        <v>0</v>
      </c>
      <c r="N85">
        <f t="shared" si="8"/>
        <v>0</v>
      </c>
      <c r="P85" t="s">
        <v>1615</v>
      </c>
      <c r="Q85">
        <v>0</v>
      </c>
      <c r="R85">
        <v>0</v>
      </c>
      <c r="S85">
        <f t="shared" si="9"/>
        <v>0</v>
      </c>
      <c r="T85">
        <f t="shared" si="10"/>
        <v>0</v>
      </c>
      <c r="U85">
        <f t="shared" si="11"/>
        <v>23.5</v>
      </c>
    </row>
    <row r="86" spans="1:21" x14ac:dyDescent="0.3">
      <c r="A86" t="s">
        <v>199</v>
      </c>
      <c r="B86">
        <v>7</v>
      </c>
      <c r="C86" t="str">
        <f t="shared" si="6"/>
        <v>0085</v>
      </c>
      <c r="D86" t="s">
        <v>1616</v>
      </c>
      <c r="F86" t="s">
        <v>1426</v>
      </c>
      <c r="G86" t="str">
        <f t="shared" si="7"/>
        <v>0084</v>
      </c>
      <c r="H86" t="s">
        <v>1615</v>
      </c>
      <c r="I86">
        <v>0</v>
      </c>
      <c r="L86" t="s">
        <v>1616</v>
      </c>
      <c r="M86">
        <v>7</v>
      </c>
      <c r="N86">
        <f t="shared" si="8"/>
        <v>6</v>
      </c>
      <c r="P86" t="s">
        <v>1616</v>
      </c>
      <c r="Q86">
        <v>7</v>
      </c>
      <c r="R86">
        <v>6</v>
      </c>
      <c r="S86">
        <f t="shared" si="9"/>
        <v>1</v>
      </c>
      <c r="T86">
        <f t="shared" si="10"/>
        <v>1</v>
      </c>
      <c r="U86">
        <f t="shared" si="11"/>
        <v>53</v>
      </c>
    </row>
    <row r="87" spans="1:21" x14ac:dyDescent="0.3">
      <c r="A87" t="s">
        <v>333</v>
      </c>
      <c r="B87">
        <v>7</v>
      </c>
      <c r="C87" t="str">
        <f t="shared" si="6"/>
        <v>0086</v>
      </c>
      <c r="D87" t="s">
        <v>1617</v>
      </c>
      <c r="F87" t="s">
        <v>1379</v>
      </c>
      <c r="G87" t="str">
        <f t="shared" si="7"/>
        <v>0085</v>
      </c>
      <c r="H87" t="s">
        <v>1616</v>
      </c>
      <c r="I87">
        <v>6</v>
      </c>
      <c r="L87" t="s">
        <v>1617</v>
      </c>
      <c r="M87">
        <v>7</v>
      </c>
      <c r="N87">
        <f t="shared" si="8"/>
        <v>6</v>
      </c>
      <c r="P87" t="s">
        <v>1617</v>
      </c>
      <c r="Q87">
        <v>7</v>
      </c>
      <c r="R87">
        <v>6</v>
      </c>
      <c r="S87">
        <f t="shared" si="9"/>
        <v>1</v>
      </c>
      <c r="T87">
        <f t="shared" si="10"/>
        <v>1</v>
      </c>
      <c r="U87">
        <f t="shared" si="11"/>
        <v>53</v>
      </c>
    </row>
    <row r="88" spans="1:21" x14ac:dyDescent="0.3">
      <c r="A88" t="s">
        <v>83</v>
      </c>
      <c r="B88">
        <v>6</v>
      </c>
      <c r="C88" t="str">
        <f t="shared" si="6"/>
        <v>0087</v>
      </c>
      <c r="D88" t="s">
        <v>1618</v>
      </c>
      <c r="F88" t="s">
        <v>1232</v>
      </c>
      <c r="G88" t="str">
        <f t="shared" si="7"/>
        <v>0086</v>
      </c>
      <c r="H88" t="s">
        <v>1617</v>
      </c>
      <c r="I88">
        <v>6</v>
      </c>
      <c r="L88" t="s">
        <v>1618</v>
      </c>
      <c r="M88">
        <v>6</v>
      </c>
      <c r="N88">
        <f t="shared" si="8"/>
        <v>0</v>
      </c>
      <c r="P88" t="s">
        <v>1618</v>
      </c>
      <c r="Q88">
        <v>6</v>
      </c>
      <c r="R88">
        <v>0</v>
      </c>
      <c r="S88">
        <f t="shared" si="9"/>
        <v>6</v>
      </c>
      <c r="T88">
        <f t="shared" si="10"/>
        <v>6</v>
      </c>
      <c r="U88">
        <f t="shared" si="11"/>
        <v>97.5</v>
      </c>
    </row>
    <row r="89" spans="1:21" x14ac:dyDescent="0.3">
      <c r="A89" t="s">
        <v>368</v>
      </c>
      <c r="B89">
        <v>8</v>
      </c>
      <c r="C89" t="str">
        <f t="shared" si="6"/>
        <v>0088</v>
      </c>
      <c r="D89" t="s">
        <v>1619</v>
      </c>
      <c r="F89" t="s">
        <v>1210</v>
      </c>
      <c r="G89" t="str">
        <f t="shared" si="7"/>
        <v>0087</v>
      </c>
      <c r="H89" t="s">
        <v>1618</v>
      </c>
      <c r="I89">
        <v>0</v>
      </c>
      <c r="L89" t="s">
        <v>1619</v>
      </c>
      <c r="M89">
        <v>8</v>
      </c>
      <c r="N89">
        <f t="shared" si="8"/>
        <v>7</v>
      </c>
      <c r="P89" t="s">
        <v>1619</v>
      </c>
      <c r="Q89">
        <v>8</v>
      </c>
      <c r="R89">
        <v>7</v>
      </c>
      <c r="S89">
        <f t="shared" si="9"/>
        <v>1</v>
      </c>
      <c r="T89">
        <f t="shared" si="10"/>
        <v>1</v>
      </c>
      <c r="U89">
        <f t="shared" si="11"/>
        <v>53</v>
      </c>
    </row>
    <row r="90" spans="1:21" x14ac:dyDescent="0.3">
      <c r="A90" t="s">
        <v>132</v>
      </c>
      <c r="B90">
        <v>8</v>
      </c>
      <c r="C90" t="str">
        <f t="shared" si="6"/>
        <v>0089</v>
      </c>
      <c r="D90" t="s">
        <v>1620</v>
      </c>
      <c r="F90" t="s">
        <v>1309</v>
      </c>
      <c r="G90" t="str">
        <f t="shared" si="7"/>
        <v>0088</v>
      </c>
      <c r="H90" t="s">
        <v>1619</v>
      </c>
      <c r="I90">
        <v>7</v>
      </c>
      <c r="L90" t="s">
        <v>1620</v>
      </c>
      <c r="M90">
        <v>8</v>
      </c>
      <c r="N90">
        <f t="shared" si="8"/>
        <v>0</v>
      </c>
      <c r="P90" t="s">
        <v>1620</v>
      </c>
      <c r="Q90">
        <v>8</v>
      </c>
      <c r="R90">
        <v>0</v>
      </c>
      <c r="S90">
        <f t="shared" si="9"/>
        <v>8</v>
      </c>
      <c r="T90">
        <f t="shared" si="10"/>
        <v>8</v>
      </c>
      <c r="U90">
        <f t="shared" si="11"/>
        <v>107</v>
      </c>
    </row>
    <row r="91" spans="1:21" x14ac:dyDescent="0.3">
      <c r="A91" t="s">
        <v>417</v>
      </c>
      <c r="B91">
        <v>8</v>
      </c>
      <c r="C91" t="str">
        <f t="shared" si="6"/>
        <v>0090</v>
      </c>
      <c r="D91" t="s">
        <v>1621</v>
      </c>
      <c r="F91" t="s">
        <v>655</v>
      </c>
      <c r="G91" t="str">
        <f t="shared" si="7"/>
        <v>0089</v>
      </c>
      <c r="H91" t="s">
        <v>1620</v>
      </c>
      <c r="I91">
        <v>0</v>
      </c>
      <c r="L91" t="s">
        <v>1621</v>
      </c>
      <c r="M91">
        <v>8</v>
      </c>
      <c r="N91">
        <f t="shared" si="8"/>
        <v>7</v>
      </c>
      <c r="P91" t="s">
        <v>1621</v>
      </c>
      <c r="Q91">
        <v>8</v>
      </c>
      <c r="R91">
        <v>7</v>
      </c>
      <c r="S91">
        <f t="shared" si="9"/>
        <v>1</v>
      </c>
      <c r="T91">
        <f t="shared" si="10"/>
        <v>1</v>
      </c>
      <c r="U91">
        <f t="shared" si="11"/>
        <v>53</v>
      </c>
    </row>
    <row r="92" spans="1:21" x14ac:dyDescent="0.3">
      <c r="A92" t="s">
        <v>64</v>
      </c>
      <c r="B92">
        <v>3</v>
      </c>
      <c r="C92" t="str">
        <f t="shared" si="6"/>
        <v>0091</v>
      </c>
      <c r="D92" t="s">
        <v>1622</v>
      </c>
      <c r="F92" t="s">
        <v>1259</v>
      </c>
      <c r="G92" t="str">
        <f t="shared" si="7"/>
        <v>0090</v>
      </c>
      <c r="H92" t="s">
        <v>1621</v>
      </c>
      <c r="I92">
        <v>7</v>
      </c>
      <c r="L92" t="s">
        <v>1622</v>
      </c>
      <c r="M92">
        <v>3</v>
      </c>
      <c r="N92">
        <f t="shared" si="8"/>
        <v>0</v>
      </c>
      <c r="P92" t="s">
        <v>1622</v>
      </c>
      <c r="Q92">
        <v>3</v>
      </c>
      <c r="R92">
        <v>0</v>
      </c>
      <c r="S92">
        <f t="shared" si="9"/>
        <v>3</v>
      </c>
      <c r="T92">
        <f t="shared" si="10"/>
        <v>3</v>
      </c>
      <c r="U92">
        <f t="shared" si="11"/>
        <v>72.5</v>
      </c>
    </row>
    <row r="93" spans="1:21" x14ac:dyDescent="0.3">
      <c r="A93" t="s">
        <v>407</v>
      </c>
      <c r="B93">
        <v>8</v>
      </c>
      <c r="C93" t="str">
        <f t="shared" si="6"/>
        <v>0092</v>
      </c>
      <c r="D93" t="s">
        <v>1623</v>
      </c>
      <c r="F93" t="s">
        <v>1296</v>
      </c>
      <c r="G93" t="str">
        <f t="shared" si="7"/>
        <v>0091</v>
      </c>
      <c r="H93" t="s">
        <v>1622</v>
      </c>
      <c r="I93">
        <v>0</v>
      </c>
      <c r="L93" t="s">
        <v>1623</v>
      </c>
      <c r="M93">
        <v>8</v>
      </c>
      <c r="N93">
        <f t="shared" si="8"/>
        <v>8</v>
      </c>
      <c r="P93" t="s">
        <v>1623</v>
      </c>
      <c r="Q93">
        <v>8</v>
      </c>
      <c r="R93">
        <v>8</v>
      </c>
      <c r="S93">
        <f t="shared" si="9"/>
        <v>0</v>
      </c>
      <c r="T93">
        <f t="shared" si="10"/>
        <v>0</v>
      </c>
      <c r="U93">
        <f t="shared" si="11"/>
        <v>23.5</v>
      </c>
    </row>
    <row r="94" spans="1:21" x14ac:dyDescent="0.3">
      <c r="A94" t="s">
        <v>491</v>
      </c>
      <c r="B94">
        <v>4</v>
      </c>
      <c r="C94" t="str">
        <f t="shared" si="6"/>
        <v>0093</v>
      </c>
      <c r="D94" t="s">
        <v>1624</v>
      </c>
      <c r="F94" t="s">
        <v>1090</v>
      </c>
      <c r="G94" t="str">
        <f t="shared" si="7"/>
        <v>0092</v>
      </c>
      <c r="H94" t="s">
        <v>1623</v>
      </c>
      <c r="I94">
        <v>8</v>
      </c>
      <c r="L94" t="s">
        <v>1624</v>
      </c>
      <c r="M94">
        <v>4</v>
      </c>
      <c r="N94">
        <f t="shared" si="8"/>
        <v>0</v>
      </c>
      <c r="P94" t="s">
        <v>1624</v>
      </c>
      <c r="Q94">
        <v>4</v>
      </c>
      <c r="R94">
        <v>0</v>
      </c>
      <c r="S94">
        <f t="shared" si="9"/>
        <v>4</v>
      </c>
      <c r="T94">
        <f t="shared" si="10"/>
        <v>4</v>
      </c>
      <c r="U94">
        <f t="shared" si="11"/>
        <v>79</v>
      </c>
    </row>
    <row r="95" spans="1:21" x14ac:dyDescent="0.3">
      <c r="A95" t="s">
        <v>432</v>
      </c>
      <c r="B95">
        <v>5</v>
      </c>
      <c r="C95" t="str">
        <f t="shared" si="6"/>
        <v>0094</v>
      </c>
      <c r="D95" t="s">
        <v>1625</v>
      </c>
      <c r="F95" t="s">
        <v>784</v>
      </c>
      <c r="G95" t="str">
        <f t="shared" si="7"/>
        <v>0093</v>
      </c>
      <c r="H95" t="s">
        <v>1624</v>
      </c>
      <c r="I95">
        <v>0</v>
      </c>
      <c r="L95" t="s">
        <v>1625</v>
      </c>
      <c r="M95">
        <v>5</v>
      </c>
      <c r="N95">
        <f t="shared" si="8"/>
        <v>0</v>
      </c>
      <c r="P95" t="s">
        <v>1625</v>
      </c>
      <c r="Q95">
        <v>5</v>
      </c>
      <c r="R95">
        <v>0</v>
      </c>
      <c r="S95">
        <f t="shared" si="9"/>
        <v>5</v>
      </c>
      <c r="T95">
        <f t="shared" si="10"/>
        <v>5</v>
      </c>
      <c r="U95">
        <f t="shared" si="11"/>
        <v>87.5</v>
      </c>
    </row>
    <row r="96" spans="1:21" x14ac:dyDescent="0.3">
      <c r="A96" t="s">
        <v>329</v>
      </c>
      <c r="B96">
        <v>0</v>
      </c>
      <c r="C96" t="str">
        <f t="shared" si="6"/>
        <v>0095</v>
      </c>
      <c r="D96" t="s">
        <v>1626</v>
      </c>
      <c r="F96" t="s">
        <v>973</v>
      </c>
      <c r="G96" t="str">
        <f t="shared" si="7"/>
        <v>0094</v>
      </c>
      <c r="H96" t="s">
        <v>1625</v>
      </c>
      <c r="I96">
        <v>0</v>
      </c>
      <c r="L96" t="s">
        <v>1626</v>
      </c>
      <c r="M96">
        <v>0</v>
      </c>
      <c r="N96">
        <f t="shared" si="8"/>
        <v>0</v>
      </c>
      <c r="P96" t="s">
        <v>1626</v>
      </c>
      <c r="Q96">
        <v>0</v>
      </c>
      <c r="R96">
        <v>0</v>
      </c>
      <c r="S96">
        <f t="shared" si="9"/>
        <v>0</v>
      </c>
      <c r="T96">
        <f t="shared" si="10"/>
        <v>0</v>
      </c>
      <c r="U96">
        <f t="shared" si="11"/>
        <v>23.5</v>
      </c>
    </row>
    <row r="97" spans="1:21" x14ac:dyDescent="0.3">
      <c r="A97" t="s">
        <v>283</v>
      </c>
      <c r="B97">
        <v>4</v>
      </c>
      <c r="C97" t="str">
        <f t="shared" si="6"/>
        <v>0096</v>
      </c>
      <c r="D97" t="s">
        <v>1627</v>
      </c>
      <c r="F97" t="s">
        <v>600</v>
      </c>
      <c r="G97" t="str">
        <f t="shared" si="7"/>
        <v>0095</v>
      </c>
      <c r="H97" t="s">
        <v>1626</v>
      </c>
      <c r="I97">
        <v>0</v>
      </c>
      <c r="L97" t="s">
        <v>1627</v>
      </c>
      <c r="M97">
        <v>4</v>
      </c>
      <c r="N97">
        <f t="shared" si="8"/>
        <v>0</v>
      </c>
      <c r="P97" t="s">
        <v>1627</v>
      </c>
      <c r="Q97">
        <v>4</v>
      </c>
      <c r="R97">
        <v>0</v>
      </c>
      <c r="S97">
        <f t="shared" si="9"/>
        <v>4</v>
      </c>
      <c r="T97">
        <f t="shared" si="10"/>
        <v>4</v>
      </c>
      <c r="U97">
        <f t="shared" si="11"/>
        <v>79</v>
      </c>
    </row>
    <row r="98" spans="1:21" x14ac:dyDescent="0.3">
      <c r="A98" t="s">
        <v>478</v>
      </c>
      <c r="B98">
        <v>0</v>
      </c>
      <c r="C98" t="str">
        <f t="shared" si="6"/>
        <v>0097</v>
      </c>
      <c r="D98" t="s">
        <v>1628</v>
      </c>
      <c r="F98" t="s">
        <v>1477</v>
      </c>
      <c r="G98" t="str">
        <f t="shared" si="7"/>
        <v>0096</v>
      </c>
      <c r="H98" t="s">
        <v>1627</v>
      </c>
      <c r="I98">
        <v>0</v>
      </c>
      <c r="L98" t="s">
        <v>1628</v>
      </c>
      <c r="M98">
        <v>0</v>
      </c>
      <c r="N98">
        <f t="shared" si="8"/>
        <v>0</v>
      </c>
      <c r="P98" t="s">
        <v>1628</v>
      </c>
      <c r="Q98">
        <v>0</v>
      </c>
      <c r="R98">
        <v>0</v>
      </c>
      <c r="S98">
        <f t="shared" si="9"/>
        <v>0</v>
      </c>
      <c r="T98">
        <f t="shared" si="10"/>
        <v>0</v>
      </c>
      <c r="U98">
        <f t="shared" si="11"/>
        <v>23.5</v>
      </c>
    </row>
    <row r="99" spans="1:21" x14ac:dyDescent="0.3">
      <c r="A99" t="s">
        <v>219</v>
      </c>
      <c r="B99">
        <v>6</v>
      </c>
      <c r="C99" t="str">
        <f t="shared" si="6"/>
        <v>0098</v>
      </c>
      <c r="D99" t="s">
        <v>1629</v>
      </c>
      <c r="F99" t="s">
        <v>1370</v>
      </c>
      <c r="G99" t="str">
        <f t="shared" si="7"/>
        <v>0097</v>
      </c>
      <c r="H99" t="s">
        <v>1628</v>
      </c>
      <c r="I99">
        <v>0</v>
      </c>
      <c r="L99" t="s">
        <v>1629</v>
      </c>
      <c r="M99">
        <v>6</v>
      </c>
      <c r="N99">
        <f t="shared" si="8"/>
        <v>0</v>
      </c>
      <c r="P99" t="s">
        <v>1629</v>
      </c>
      <c r="Q99">
        <v>6</v>
      </c>
      <c r="R99">
        <v>0</v>
      </c>
      <c r="S99">
        <f t="shared" si="9"/>
        <v>6</v>
      </c>
      <c r="T99">
        <f t="shared" si="10"/>
        <v>6</v>
      </c>
      <c r="U99">
        <f t="shared" si="11"/>
        <v>97.5</v>
      </c>
    </row>
    <row r="100" spans="1:21" x14ac:dyDescent="0.3">
      <c r="A100" t="s">
        <v>412</v>
      </c>
      <c r="B100">
        <v>6</v>
      </c>
      <c r="C100" t="str">
        <f t="shared" si="6"/>
        <v>0099</v>
      </c>
      <c r="D100" t="s">
        <v>1630</v>
      </c>
      <c r="F100" t="s">
        <v>926</v>
      </c>
      <c r="G100" t="str">
        <f t="shared" si="7"/>
        <v>0098</v>
      </c>
      <c r="H100" t="s">
        <v>1629</v>
      </c>
      <c r="I100">
        <v>0</v>
      </c>
      <c r="L100" t="s">
        <v>1630</v>
      </c>
      <c r="M100">
        <v>6</v>
      </c>
      <c r="N100">
        <f t="shared" si="8"/>
        <v>0</v>
      </c>
      <c r="P100" t="s">
        <v>1630</v>
      </c>
      <c r="Q100">
        <v>6</v>
      </c>
      <c r="R100">
        <v>0</v>
      </c>
      <c r="S100">
        <f t="shared" si="9"/>
        <v>6</v>
      </c>
      <c r="T100">
        <f t="shared" si="10"/>
        <v>6</v>
      </c>
      <c r="U100">
        <f t="shared" si="11"/>
        <v>97.5</v>
      </c>
    </row>
    <row r="101" spans="1:21" x14ac:dyDescent="0.3">
      <c r="A101" t="s">
        <v>55</v>
      </c>
      <c r="B101">
        <v>5</v>
      </c>
      <c r="C101" t="str">
        <f t="shared" si="6"/>
        <v>0100</v>
      </c>
      <c r="D101" t="s">
        <v>1631</v>
      </c>
      <c r="F101" t="s">
        <v>1406</v>
      </c>
      <c r="G101" t="str">
        <f t="shared" si="7"/>
        <v>0099</v>
      </c>
      <c r="H101" t="s">
        <v>1630</v>
      </c>
      <c r="I101">
        <v>0</v>
      </c>
      <c r="L101" t="s">
        <v>1631</v>
      </c>
      <c r="M101">
        <v>5</v>
      </c>
      <c r="N101">
        <f t="shared" si="8"/>
        <v>0</v>
      </c>
      <c r="P101" t="s">
        <v>1631</v>
      </c>
      <c r="Q101">
        <v>5</v>
      </c>
      <c r="R101">
        <v>0</v>
      </c>
      <c r="S101">
        <f t="shared" si="9"/>
        <v>5</v>
      </c>
      <c r="T101">
        <f t="shared" si="10"/>
        <v>5</v>
      </c>
      <c r="U101">
        <f t="shared" si="11"/>
        <v>87.5</v>
      </c>
    </row>
    <row r="102" spans="1:21" x14ac:dyDescent="0.3">
      <c r="A102" t="s">
        <v>459</v>
      </c>
      <c r="B102">
        <v>0</v>
      </c>
      <c r="C102" t="str">
        <f t="shared" si="6"/>
        <v>0101</v>
      </c>
      <c r="D102" t="s">
        <v>1632</v>
      </c>
      <c r="F102" t="s">
        <v>802</v>
      </c>
      <c r="G102" t="str">
        <f t="shared" si="7"/>
        <v>0100</v>
      </c>
      <c r="H102" t="s">
        <v>1631</v>
      </c>
      <c r="I102">
        <v>0</v>
      </c>
      <c r="L102" t="s">
        <v>1632</v>
      </c>
      <c r="M102">
        <v>0</v>
      </c>
      <c r="N102">
        <f t="shared" si="8"/>
        <v>0</v>
      </c>
      <c r="P102" t="s">
        <v>1632</v>
      </c>
      <c r="Q102">
        <v>0</v>
      </c>
      <c r="R102">
        <v>0</v>
      </c>
      <c r="S102">
        <f t="shared" si="9"/>
        <v>0</v>
      </c>
      <c r="T102">
        <f t="shared" si="10"/>
        <v>0</v>
      </c>
      <c r="U102">
        <f t="shared" si="11"/>
        <v>23.5</v>
      </c>
    </row>
    <row r="103" spans="1:21" x14ac:dyDescent="0.3">
      <c r="A103" t="s">
        <v>229</v>
      </c>
      <c r="B103">
        <v>0</v>
      </c>
      <c r="C103" t="str">
        <f t="shared" si="6"/>
        <v>0102</v>
      </c>
      <c r="D103" t="s">
        <v>1633</v>
      </c>
      <c r="F103" t="s">
        <v>833</v>
      </c>
      <c r="G103" t="str">
        <f t="shared" si="7"/>
        <v>0101</v>
      </c>
      <c r="H103" t="s">
        <v>1632</v>
      </c>
      <c r="I103">
        <v>0</v>
      </c>
      <c r="L103" t="s">
        <v>1633</v>
      </c>
      <c r="M103">
        <v>0</v>
      </c>
      <c r="N103">
        <f t="shared" si="8"/>
        <v>0</v>
      </c>
      <c r="P103" t="s">
        <v>1633</v>
      </c>
      <c r="Q103">
        <v>0</v>
      </c>
      <c r="R103">
        <v>0</v>
      </c>
      <c r="S103">
        <f t="shared" si="9"/>
        <v>0</v>
      </c>
      <c r="T103">
        <f t="shared" si="10"/>
        <v>0</v>
      </c>
      <c r="U103">
        <f t="shared" si="11"/>
        <v>23.5</v>
      </c>
    </row>
    <row r="104" spans="1:21" x14ac:dyDescent="0.3">
      <c r="A104" t="s">
        <v>402</v>
      </c>
      <c r="B104">
        <v>5</v>
      </c>
      <c r="C104" t="str">
        <f t="shared" si="6"/>
        <v>0103</v>
      </c>
      <c r="D104" t="s">
        <v>1634</v>
      </c>
      <c r="F104" t="s">
        <v>1030</v>
      </c>
      <c r="G104" t="str">
        <f t="shared" si="7"/>
        <v>0102</v>
      </c>
      <c r="H104" t="s">
        <v>1633</v>
      </c>
      <c r="I104">
        <v>0</v>
      </c>
      <c r="L104" t="s">
        <v>1634</v>
      </c>
      <c r="M104">
        <v>5</v>
      </c>
      <c r="N104">
        <f t="shared" si="8"/>
        <v>0</v>
      </c>
      <c r="P104" t="s">
        <v>1634</v>
      </c>
      <c r="Q104">
        <v>5</v>
      </c>
      <c r="R104">
        <v>0</v>
      </c>
      <c r="S104">
        <f t="shared" si="9"/>
        <v>5</v>
      </c>
      <c r="T104">
        <f t="shared" si="10"/>
        <v>5</v>
      </c>
      <c r="U104">
        <f t="shared" si="11"/>
        <v>87.5</v>
      </c>
    </row>
    <row r="105" spans="1:21" x14ac:dyDescent="0.3">
      <c r="A105" t="s">
        <v>482</v>
      </c>
      <c r="B105">
        <v>7</v>
      </c>
      <c r="C105" t="str">
        <f t="shared" si="6"/>
        <v>0104</v>
      </c>
      <c r="D105" t="s">
        <v>1635</v>
      </c>
      <c r="F105" t="s">
        <v>1206</v>
      </c>
      <c r="G105" t="str">
        <f t="shared" si="7"/>
        <v>0103</v>
      </c>
      <c r="H105" t="s">
        <v>1634</v>
      </c>
      <c r="I105">
        <v>0</v>
      </c>
      <c r="L105" t="s">
        <v>1635</v>
      </c>
      <c r="M105">
        <v>7</v>
      </c>
      <c r="N105">
        <f t="shared" si="8"/>
        <v>7</v>
      </c>
      <c r="P105" t="s">
        <v>1635</v>
      </c>
      <c r="Q105">
        <v>7</v>
      </c>
      <c r="R105">
        <v>7</v>
      </c>
      <c r="S105">
        <f t="shared" si="9"/>
        <v>0</v>
      </c>
      <c r="T105">
        <f t="shared" si="10"/>
        <v>0</v>
      </c>
      <c r="U105">
        <f t="shared" si="11"/>
        <v>23.5</v>
      </c>
    </row>
    <row r="106" spans="1:21" x14ac:dyDescent="0.3">
      <c r="A106" t="s">
        <v>204</v>
      </c>
      <c r="B106">
        <v>4</v>
      </c>
      <c r="C106" t="str">
        <f t="shared" si="6"/>
        <v>0105</v>
      </c>
      <c r="D106" t="s">
        <v>1636</v>
      </c>
      <c r="F106" t="s">
        <v>761</v>
      </c>
      <c r="G106" t="str">
        <f t="shared" si="7"/>
        <v>0104</v>
      </c>
      <c r="H106" t="s">
        <v>1635</v>
      </c>
      <c r="I106">
        <v>7</v>
      </c>
      <c r="L106" t="s">
        <v>1636</v>
      </c>
      <c r="M106">
        <v>4</v>
      </c>
      <c r="N106">
        <f t="shared" si="8"/>
        <v>4</v>
      </c>
      <c r="P106" t="s">
        <v>1636</v>
      </c>
      <c r="Q106">
        <v>4</v>
      </c>
      <c r="R106">
        <v>4</v>
      </c>
      <c r="S106">
        <f t="shared" si="9"/>
        <v>0</v>
      </c>
      <c r="T106">
        <f t="shared" si="10"/>
        <v>0</v>
      </c>
      <c r="U106">
        <f t="shared" si="11"/>
        <v>23.5</v>
      </c>
    </row>
    <row r="107" spans="1:21" x14ac:dyDescent="0.3">
      <c r="A107" t="s">
        <v>473</v>
      </c>
      <c r="B107">
        <v>6</v>
      </c>
      <c r="C107" t="str">
        <f t="shared" si="6"/>
        <v>0106</v>
      </c>
      <c r="D107" t="s">
        <v>1637</v>
      </c>
      <c r="F107" t="s">
        <v>737</v>
      </c>
      <c r="G107" t="str">
        <f t="shared" si="7"/>
        <v>0105</v>
      </c>
      <c r="H107" t="s">
        <v>1636</v>
      </c>
      <c r="I107">
        <v>4</v>
      </c>
      <c r="L107" t="s">
        <v>1637</v>
      </c>
      <c r="M107">
        <v>6</v>
      </c>
      <c r="N107">
        <f t="shared" si="8"/>
        <v>5</v>
      </c>
      <c r="P107" t="s">
        <v>1637</v>
      </c>
      <c r="Q107">
        <v>6</v>
      </c>
      <c r="R107">
        <v>5</v>
      </c>
      <c r="S107">
        <f t="shared" si="9"/>
        <v>1</v>
      </c>
      <c r="T107">
        <f t="shared" si="10"/>
        <v>1</v>
      </c>
      <c r="U107">
        <f t="shared" si="11"/>
        <v>53</v>
      </c>
    </row>
    <row r="108" spans="1:21" x14ac:dyDescent="0.3">
      <c r="A108" t="s">
        <v>6</v>
      </c>
      <c r="B108">
        <v>8</v>
      </c>
      <c r="C108" t="str">
        <f t="shared" si="6"/>
        <v>0107</v>
      </c>
      <c r="D108" t="s">
        <v>1638</v>
      </c>
      <c r="F108" t="s">
        <v>981</v>
      </c>
      <c r="G108" t="str">
        <f t="shared" si="7"/>
        <v>0106</v>
      </c>
      <c r="H108" t="s">
        <v>1637</v>
      </c>
      <c r="I108">
        <v>5</v>
      </c>
      <c r="L108" t="s">
        <v>1638</v>
      </c>
      <c r="M108">
        <v>8</v>
      </c>
      <c r="N108">
        <f t="shared" si="8"/>
        <v>8</v>
      </c>
      <c r="P108" t="s">
        <v>1638</v>
      </c>
      <c r="Q108">
        <v>8</v>
      </c>
      <c r="R108">
        <v>8</v>
      </c>
      <c r="S108">
        <f t="shared" si="9"/>
        <v>0</v>
      </c>
      <c r="T108">
        <f t="shared" si="10"/>
        <v>0</v>
      </c>
      <c r="U108">
        <f t="shared" si="11"/>
        <v>23.5</v>
      </c>
    </row>
    <row r="109" spans="1:21" x14ac:dyDescent="0.3">
      <c r="A109" t="s">
        <v>74</v>
      </c>
      <c r="B109">
        <v>0</v>
      </c>
      <c r="C109" t="str">
        <f t="shared" si="6"/>
        <v>0108</v>
      </c>
      <c r="D109" t="s">
        <v>1639</v>
      </c>
      <c r="F109" t="s">
        <v>1468</v>
      </c>
      <c r="G109" t="str">
        <f t="shared" si="7"/>
        <v>0107</v>
      </c>
      <c r="H109" t="s">
        <v>1638</v>
      </c>
      <c r="I109">
        <v>8</v>
      </c>
      <c r="L109" t="s">
        <v>1639</v>
      </c>
      <c r="M109">
        <v>0</v>
      </c>
      <c r="N109">
        <f t="shared" si="8"/>
        <v>0</v>
      </c>
      <c r="P109" t="s">
        <v>1639</v>
      </c>
      <c r="Q109">
        <v>0</v>
      </c>
      <c r="R109">
        <v>0</v>
      </c>
      <c r="S109">
        <f t="shared" si="9"/>
        <v>0</v>
      </c>
      <c r="T109">
        <f t="shared" si="10"/>
        <v>0</v>
      </c>
      <c r="U109">
        <f t="shared" si="11"/>
        <v>23.5</v>
      </c>
    </row>
    <row r="110" spans="1:21" x14ac:dyDescent="0.3">
      <c r="A110" t="s">
        <v>534</v>
      </c>
      <c r="B110">
        <v>0</v>
      </c>
      <c r="C110" t="str">
        <f t="shared" si="6"/>
        <v>0109</v>
      </c>
      <c r="D110" t="s">
        <v>1640</v>
      </c>
      <c r="F110" t="s">
        <v>551</v>
      </c>
      <c r="G110" t="str">
        <f t="shared" si="7"/>
        <v>0108</v>
      </c>
      <c r="H110" t="s">
        <v>1639</v>
      </c>
      <c r="I110">
        <v>0</v>
      </c>
      <c r="L110" t="s">
        <v>1640</v>
      </c>
      <c r="M110">
        <v>0</v>
      </c>
      <c r="N110">
        <f t="shared" si="8"/>
        <v>0</v>
      </c>
      <c r="P110" t="s">
        <v>1640</v>
      </c>
      <c r="Q110">
        <v>0</v>
      </c>
      <c r="R110">
        <v>0</v>
      </c>
      <c r="S110">
        <f t="shared" si="9"/>
        <v>0</v>
      </c>
      <c r="T110">
        <f t="shared" si="10"/>
        <v>0</v>
      </c>
      <c r="U110">
        <f t="shared" si="11"/>
        <v>23.5</v>
      </c>
    </row>
    <row r="111" spans="1:21" x14ac:dyDescent="0.3">
      <c r="A111" t="s">
        <v>191</v>
      </c>
      <c r="B111">
        <v>0</v>
      </c>
      <c r="C111" t="str">
        <f t="shared" si="6"/>
        <v>0110</v>
      </c>
      <c r="D111" t="s">
        <v>1641</v>
      </c>
      <c r="F111" t="s">
        <v>1361</v>
      </c>
      <c r="G111" t="str">
        <f t="shared" si="7"/>
        <v>0109</v>
      </c>
      <c r="H111" t="s">
        <v>1640</v>
      </c>
      <c r="I111">
        <v>0</v>
      </c>
      <c r="L111" t="s">
        <v>1641</v>
      </c>
      <c r="M111">
        <v>0</v>
      </c>
      <c r="N111">
        <f t="shared" si="8"/>
        <v>0</v>
      </c>
      <c r="P111" t="s">
        <v>1641</v>
      </c>
      <c r="Q111">
        <v>0</v>
      </c>
      <c r="R111">
        <v>0</v>
      </c>
      <c r="S111">
        <f t="shared" si="9"/>
        <v>0</v>
      </c>
      <c r="T111">
        <f t="shared" si="10"/>
        <v>0</v>
      </c>
      <c r="U111">
        <f t="shared" si="11"/>
        <v>23.5</v>
      </c>
    </row>
    <row r="112" spans="1:21" x14ac:dyDescent="0.3">
      <c r="A112" t="s">
        <v>60</v>
      </c>
      <c r="B112">
        <v>0</v>
      </c>
      <c r="C112" t="str">
        <f t="shared" si="6"/>
        <v>0121</v>
      </c>
      <c r="D112" t="s">
        <v>1642</v>
      </c>
      <c r="F112" t="s">
        <v>798</v>
      </c>
      <c r="G112" t="str">
        <f t="shared" si="7"/>
        <v>0110</v>
      </c>
      <c r="H112" t="s">
        <v>1641</v>
      </c>
      <c r="I112">
        <v>0</v>
      </c>
      <c r="L112" t="s">
        <v>1642</v>
      </c>
      <c r="M112">
        <v>0</v>
      </c>
      <c r="N112">
        <f t="shared" si="8"/>
        <v>0</v>
      </c>
      <c r="P112" t="s">
        <v>1642</v>
      </c>
      <c r="Q112">
        <v>0</v>
      </c>
      <c r="R112">
        <v>0</v>
      </c>
      <c r="S112">
        <f t="shared" si="9"/>
        <v>0</v>
      </c>
      <c r="T112">
        <f t="shared" si="10"/>
        <v>0</v>
      </c>
      <c r="U112">
        <f t="shared" si="11"/>
        <v>23.5</v>
      </c>
    </row>
    <row r="113" spans="6:26" x14ac:dyDescent="0.3">
      <c r="F113" t="s">
        <v>1410</v>
      </c>
      <c r="G113" t="str">
        <f t="shared" si="7"/>
        <v>0121</v>
      </c>
      <c r="H113" t="s">
        <v>1642</v>
      </c>
      <c r="I113">
        <v>0</v>
      </c>
      <c r="S113" s="2" t="s">
        <v>1753</v>
      </c>
      <c r="T113" s="2" t="s">
        <v>1757</v>
      </c>
    </row>
    <row r="114" spans="6:26" x14ac:dyDescent="0.3">
      <c r="F114" t="s">
        <v>819</v>
      </c>
      <c r="G114" t="str">
        <f t="shared" si="7"/>
        <v>/021</v>
      </c>
      <c r="H114" t="s">
        <v>1644</v>
      </c>
      <c r="I114">
        <v>4</v>
      </c>
      <c r="P114" s="2" t="s">
        <v>1752</v>
      </c>
      <c r="Q114" s="3">
        <f>AVERAGE(Q2:Q112)</f>
        <v>4.9459459459459456</v>
      </c>
      <c r="R114" s="3">
        <f>AVERAGE(R2:R112)</f>
        <v>2.6306306306306309</v>
      </c>
      <c r="S114" s="3">
        <f>Q114-R114</f>
        <v>2.3153153153153148</v>
      </c>
      <c r="T114">
        <f>COUNT(Q2:Q112)</f>
        <v>111</v>
      </c>
      <c r="V114" s="2" t="s">
        <v>7</v>
      </c>
      <c r="W114" t="s">
        <v>1760</v>
      </c>
      <c r="X114" s="2" t="s">
        <v>1756</v>
      </c>
      <c r="Y114" t="s">
        <v>1761</v>
      </c>
    </row>
    <row r="115" spans="6:26" x14ac:dyDescent="0.3">
      <c r="F115" t="s">
        <v>641</v>
      </c>
      <c r="G115" t="str">
        <f t="shared" si="7"/>
        <v>/036</v>
      </c>
      <c r="H115" t="s">
        <v>1645</v>
      </c>
      <c r="I115">
        <v>5</v>
      </c>
      <c r="P115" s="2" t="s">
        <v>1754</v>
      </c>
      <c r="Q115">
        <f>MEDIAN(Q2:Q112)</f>
        <v>6</v>
      </c>
      <c r="R115">
        <f>MEDIAN(R2:R112)</f>
        <v>0</v>
      </c>
      <c r="S115" s="3">
        <f>Q115-R115</f>
        <v>6</v>
      </c>
      <c r="U115" t="s">
        <v>1759</v>
      </c>
      <c r="V115" t="s">
        <v>1757</v>
      </c>
      <c r="W115" t="s">
        <v>1758</v>
      </c>
      <c r="X115" t="s">
        <v>1757</v>
      </c>
      <c r="Y115" t="s">
        <v>1758</v>
      </c>
      <c r="Z115" t="s">
        <v>1762</v>
      </c>
    </row>
    <row r="116" spans="6:26" x14ac:dyDescent="0.3">
      <c r="F116" t="s">
        <v>596</v>
      </c>
      <c r="G116" t="str">
        <f t="shared" si="7"/>
        <v>/039</v>
      </c>
      <c r="H116" t="s">
        <v>1646</v>
      </c>
      <c r="I116">
        <v>0</v>
      </c>
      <c r="P116" s="2" t="s">
        <v>1755</v>
      </c>
      <c r="Q116" s="3">
        <f>_xlfn.STDEV.S(Q2:Q112)</f>
        <v>3.0386535230946015</v>
      </c>
      <c r="R116" s="3">
        <f>_xlfn.STDEV.S(R2:R112)</f>
        <v>3.1069655700112055</v>
      </c>
      <c r="S116" s="3">
        <f>Q116-R116</f>
        <v>-6.8312046916604086E-2</v>
      </c>
      <c r="U116">
        <v>0</v>
      </c>
      <c r="V116">
        <f>COUNTIF($Q$2:$Q$112,U116)</f>
        <v>25</v>
      </c>
      <c r="W116" s="4">
        <f>V116/111*100</f>
        <v>22.522522522522522</v>
      </c>
      <c r="X116">
        <f>COUNTIF($R$2:$R$112,U116)</f>
        <v>62</v>
      </c>
      <c r="Y116" s="4">
        <f>X116/111*100</f>
        <v>55.85585585585585</v>
      </c>
      <c r="Z116" s="4">
        <f>Y116-W116</f>
        <v>33.333333333333329</v>
      </c>
    </row>
    <row r="117" spans="6:26" x14ac:dyDescent="0.3">
      <c r="F117" t="s">
        <v>1071</v>
      </c>
      <c r="G117" t="str">
        <f t="shared" si="7"/>
        <v>/045</v>
      </c>
      <c r="H117" t="s">
        <v>1647</v>
      </c>
      <c r="I117">
        <v>0</v>
      </c>
      <c r="P117" s="2" t="s">
        <v>1908</v>
      </c>
      <c r="Q117">
        <f>TTEST(Q2:Q112,R2:R112,2,1)</f>
        <v>9.025400580054684E-15</v>
      </c>
      <c r="U117">
        <v>1</v>
      </c>
      <c r="V117">
        <f>COUNTIF($Q$2:$Q$112,U117)</f>
        <v>0</v>
      </c>
      <c r="W117" s="4">
        <f t="shared" ref="W117:W126" si="12">V117/111*100</f>
        <v>0</v>
      </c>
      <c r="X117">
        <f>COUNTIF($R$2:$R$112,U117)</f>
        <v>0</v>
      </c>
      <c r="Y117" s="4">
        <f t="shared" ref="Y117:Y126" si="13">X117/111*100</f>
        <v>0</v>
      </c>
      <c r="Z117" s="4">
        <f t="shared" ref="Z117:Z126" si="14">Y117-W117</f>
        <v>0</v>
      </c>
    </row>
    <row r="118" spans="6:26" x14ac:dyDescent="0.3">
      <c r="F118" t="s">
        <v>1171</v>
      </c>
      <c r="G118" t="str">
        <f t="shared" si="7"/>
        <v>/049</v>
      </c>
      <c r="H118" t="s">
        <v>1648</v>
      </c>
      <c r="I118">
        <v>0</v>
      </c>
      <c r="U118">
        <v>2</v>
      </c>
      <c r="V118">
        <f t="shared" ref="V118:V126" si="15">COUNTIF($Q$2:$Q$112,U118)</f>
        <v>0</v>
      </c>
      <c r="W118" s="4">
        <f t="shared" si="12"/>
        <v>0</v>
      </c>
      <c r="X118">
        <f t="shared" ref="X118:X126" si="16">COUNTIF($R$2:$R$112,U118)</f>
        <v>0</v>
      </c>
      <c r="Y118" s="4">
        <f t="shared" si="13"/>
        <v>0</v>
      </c>
      <c r="Z118" s="4">
        <f t="shared" si="14"/>
        <v>0</v>
      </c>
    </row>
    <row r="119" spans="6:26" x14ac:dyDescent="0.3">
      <c r="F119" t="s">
        <v>1246</v>
      </c>
      <c r="G119" t="str">
        <f t="shared" si="7"/>
        <v>/050</v>
      </c>
      <c r="H119" t="s">
        <v>1649</v>
      </c>
      <c r="I119">
        <v>0</v>
      </c>
      <c r="U119">
        <v>3</v>
      </c>
      <c r="V119">
        <f t="shared" si="15"/>
        <v>3</v>
      </c>
      <c r="W119" s="4">
        <f t="shared" si="12"/>
        <v>2.7027027027027026</v>
      </c>
      <c r="X119">
        <f t="shared" si="16"/>
        <v>1</v>
      </c>
      <c r="Y119" s="4">
        <f t="shared" si="13"/>
        <v>0.90090090090090091</v>
      </c>
      <c r="Z119" s="4">
        <f t="shared" si="14"/>
        <v>-1.8018018018018016</v>
      </c>
    </row>
    <row r="120" spans="6:26" x14ac:dyDescent="0.3">
      <c r="F120" t="s">
        <v>869</v>
      </c>
      <c r="G120" t="str">
        <f t="shared" si="7"/>
        <v>/051</v>
      </c>
      <c r="H120" t="s">
        <v>1650</v>
      </c>
      <c r="I120">
        <v>5</v>
      </c>
      <c r="U120">
        <v>4</v>
      </c>
      <c r="V120">
        <f t="shared" si="15"/>
        <v>10</v>
      </c>
      <c r="W120" s="4">
        <f t="shared" si="12"/>
        <v>9.0090090090090094</v>
      </c>
      <c r="X120">
        <f t="shared" si="16"/>
        <v>8</v>
      </c>
      <c r="Y120" s="4">
        <f t="shared" si="13"/>
        <v>7.2072072072072073</v>
      </c>
      <c r="Z120" s="4">
        <f t="shared" si="14"/>
        <v>-1.801801801801802</v>
      </c>
    </row>
    <row r="121" spans="6:26" x14ac:dyDescent="0.3">
      <c r="F121" t="s">
        <v>968</v>
      </c>
      <c r="G121" t="str">
        <f t="shared" si="7"/>
        <v>/090</v>
      </c>
      <c r="H121" t="s">
        <v>1651</v>
      </c>
      <c r="I121">
        <v>5</v>
      </c>
      <c r="U121">
        <v>5</v>
      </c>
      <c r="V121">
        <f t="shared" si="15"/>
        <v>13</v>
      </c>
      <c r="W121" s="4">
        <f t="shared" si="12"/>
        <v>11.711711711711711</v>
      </c>
      <c r="X121">
        <f t="shared" si="16"/>
        <v>8</v>
      </c>
      <c r="Y121" s="4">
        <f t="shared" si="13"/>
        <v>7.2072072072072073</v>
      </c>
      <c r="Z121" s="4">
        <f t="shared" si="14"/>
        <v>-4.5045045045045038</v>
      </c>
    </row>
    <row r="122" spans="6:26" x14ac:dyDescent="0.3">
      <c r="F122" t="s">
        <v>1043</v>
      </c>
      <c r="G122" t="str">
        <f t="shared" si="7"/>
        <v>/098</v>
      </c>
      <c r="H122" t="s">
        <v>1652</v>
      </c>
      <c r="I122">
        <v>5</v>
      </c>
      <c r="U122">
        <v>6</v>
      </c>
      <c r="V122">
        <f t="shared" si="15"/>
        <v>18</v>
      </c>
      <c r="W122" s="4">
        <f t="shared" si="12"/>
        <v>16.216216216216218</v>
      </c>
      <c r="X122">
        <f t="shared" si="16"/>
        <v>14</v>
      </c>
      <c r="Y122" s="4">
        <f t="shared" si="13"/>
        <v>12.612612612612612</v>
      </c>
      <c r="Z122" s="4">
        <f t="shared" si="14"/>
        <v>-3.6036036036036059</v>
      </c>
    </row>
    <row r="123" spans="6:26" x14ac:dyDescent="0.3">
      <c r="F123" t="s">
        <v>693</v>
      </c>
      <c r="G123" t="str">
        <f t="shared" si="7"/>
        <v>1001</v>
      </c>
      <c r="H123" t="s">
        <v>1653</v>
      </c>
      <c r="I123">
        <v>6</v>
      </c>
      <c r="U123">
        <v>7</v>
      </c>
      <c r="V123">
        <f t="shared" si="15"/>
        <v>17</v>
      </c>
      <c r="W123" s="4">
        <f t="shared" si="12"/>
        <v>15.315315315315313</v>
      </c>
      <c r="X123">
        <f t="shared" si="16"/>
        <v>12</v>
      </c>
      <c r="Y123" s="4">
        <f t="shared" si="13"/>
        <v>10.810810810810811</v>
      </c>
      <c r="Z123" s="4">
        <f t="shared" si="14"/>
        <v>-4.5045045045045029</v>
      </c>
    </row>
    <row r="124" spans="6:26" x14ac:dyDescent="0.3">
      <c r="F124" t="s">
        <v>1339</v>
      </c>
      <c r="G124" t="str">
        <f t="shared" si="7"/>
        <v>1002</v>
      </c>
      <c r="H124" t="s">
        <v>1654</v>
      </c>
      <c r="I124">
        <v>0</v>
      </c>
      <c r="U124">
        <v>8</v>
      </c>
      <c r="V124">
        <f t="shared" si="15"/>
        <v>18</v>
      </c>
      <c r="W124" s="4">
        <f t="shared" si="12"/>
        <v>16.216216216216218</v>
      </c>
      <c r="X124">
        <f t="shared" si="16"/>
        <v>5</v>
      </c>
      <c r="Y124" s="4">
        <f t="shared" si="13"/>
        <v>4.5045045045045047</v>
      </c>
      <c r="Z124" s="4">
        <f t="shared" si="14"/>
        <v>-11.711711711711713</v>
      </c>
    </row>
    <row r="125" spans="6:26" x14ac:dyDescent="0.3">
      <c r="F125" t="s">
        <v>1052</v>
      </c>
      <c r="G125" t="str">
        <f t="shared" si="7"/>
        <v>1005</v>
      </c>
      <c r="H125" t="s">
        <v>1655</v>
      </c>
      <c r="I125">
        <v>6</v>
      </c>
      <c r="U125">
        <v>9</v>
      </c>
      <c r="V125">
        <f t="shared" si="15"/>
        <v>6</v>
      </c>
      <c r="W125" s="4">
        <f t="shared" si="12"/>
        <v>5.4054054054054053</v>
      </c>
      <c r="X125">
        <f t="shared" si="16"/>
        <v>1</v>
      </c>
      <c r="Y125" s="4">
        <f t="shared" si="13"/>
        <v>0.90090090090090091</v>
      </c>
      <c r="Z125" s="4">
        <f t="shared" si="14"/>
        <v>-4.5045045045045047</v>
      </c>
    </row>
    <row r="126" spans="6:26" x14ac:dyDescent="0.3">
      <c r="F126" t="s">
        <v>1113</v>
      </c>
      <c r="G126" t="str">
        <f t="shared" si="7"/>
        <v>/103</v>
      </c>
      <c r="H126" t="s">
        <v>1656</v>
      </c>
      <c r="I126">
        <v>7</v>
      </c>
      <c r="U126">
        <v>10</v>
      </c>
      <c r="V126">
        <f t="shared" si="15"/>
        <v>1</v>
      </c>
      <c r="W126" s="4">
        <f t="shared" si="12"/>
        <v>0.90090090090090091</v>
      </c>
      <c r="X126">
        <f t="shared" si="16"/>
        <v>0</v>
      </c>
      <c r="Y126" s="4">
        <f t="shared" si="13"/>
        <v>0</v>
      </c>
      <c r="Z126" s="4">
        <f t="shared" si="14"/>
        <v>-0.90090090090090091</v>
      </c>
    </row>
    <row r="127" spans="6:26" x14ac:dyDescent="0.3">
      <c r="F127" t="s">
        <v>892</v>
      </c>
      <c r="G127" t="str">
        <f t="shared" si="7"/>
        <v>1047</v>
      </c>
      <c r="H127" t="s">
        <v>1657</v>
      </c>
      <c r="I127">
        <v>0</v>
      </c>
    </row>
    <row r="128" spans="6:26" x14ac:dyDescent="0.3">
      <c r="F128" t="s">
        <v>668</v>
      </c>
      <c r="G128" t="str">
        <f t="shared" si="7"/>
        <v>1049</v>
      </c>
      <c r="H128" t="s">
        <v>1658</v>
      </c>
      <c r="I128">
        <v>0</v>
      </c>
    </row>
    <row r="129" spans="6:9" x14ac:dyDescent="0.3">
      <c r="F129" t="s">
        <v>1287</v>
      </c>
      <c r="G129" t="str">
        <f t="shared" si="7"/>
        <v>1052</v>
      </c>
      <c r="H129" t="s">
        <v>1659</v>
      </c>
      <c r="I129">
        <v>8</v>
      </c>
    </row>
    <row r="130" spans="6:9" x14ac:dyDescent="0.3">
      <c r="F130" t="s">
        <v>1356</v>
      </c>
      <c r="G130" t="str">
        <f t="shared" si="7"/>
        <v>1053</v>
      </c>
      <c r="H130" t="s">
        <v>1660</v>
      </c>
      <c r="I130">
        <v>7</v>
      </c>
    </row>
    <row r="131" spans="6:9" x14ac:dyDescent="0.3">
      <c r="F131" t="s">
        <v>1183</v>
      </c>
      <c r="G131" t="str">
        <f t="shared" ref="G131:G194" si="17">LEFT(RIGHT(F131,8),4)</f>
        <v>1060</v>
      </c>
      <c r="H131" t="s">
        <v>1661</v>
      </c>
      <c r="I131">
        <v>7</v>
      </c>
    </row>
    <row r="132" spans="6:9" x14ac:dyDescent="0.3">
      <c r="F132" t="s">
        <v>1304</v>
      </c>
      <c r="G132" t="str">
        <f t="shared" si="17"/>
        <v>d/11</v>
      </c>
      <c r="H132" t="s">
        <v>1662</v>
      </c>
      <c r="I132">
        <v>7</v>
      </c>
    </row>
    <row r="133" spans="6:9" x14ac:dyDescent="0.3">
      <c r="F133" t="s">
        <v>1075</v>
      </c>
      <c r="G133" t="str">
        <f t="shared" si="17"/>
        <v>1111</v>
      </c>
      <c r="H133" t="s">
        <v>1663</v>
      </c>
      <c r="I133">
        <v>8</v>
      </c>
    </row>
    <row r="134" spans="6:9" x14ac:dyDescent="0.3">
      <c r="F134" t="s">
        <v>1158</v>
      </c>
      <c r="G134" t="str">
        <f t="shared" si="17"/>
        <v>1132</v>
      </c>
      <c r="H134" t="s">
        <v>1664</v>
      </c>
      <c r="I134">
        <v>0</v>
      </c>
    </row>
    <row r="135" spans="6:9" x14ac:dyDescent="0.3">
      <c r="F135" t="s">
        <v>698</v>
      </c>
      <c r="G135" t="str">
        <f t="shared" si="17"/>
        <v>d/17</v>
      </c>
      <c r="H135" t="s">
        <v>1665</v>
      </c>
      <c r="I135">
        <v>6</v>
      </c>
    </row>
    <row r="136" spans="6:9" x14ac:dyDescent="0.3">
      <c r="F136" t="s">
        <v>1448</v>
      </c>
      <c r="G136" t="str">
        <f t="shared" si="17"/>
        <v>/209</v>
      </c>
      <c r="H136" t="s">
        <v>1666</v>
      </c>
      <c r="I136">
        <v>7</v>
      </c>
    </row>
    <row r="137" spans="6:9" x14ac:dyDescent="0.3">
      <c r="F137" t="s">
        <v>560</v>
      </c>
      <c r="G137" t="str">
        <f t="shared" si="17"/>
        <v>1600</v>
      </c>
      <c r="H137" t="s">
        <v>1667</v>
      </c>
      <c r="I137">
        <v>5</v>
      </c>
    </row>
    <row r="138" spans="6:9" x14ac:dyDescent="0.3">
      <c r="F138" t="s">
        <v>846</v>
      </c>
      <c r="G138" t="str">
        <f t="shared" si="17"/>
        <v>d/26</v>
      </c>
      <c r="H138" t="s">
        <v>1668</v>
      </c>
      <c r="I138">
        <v>5</v>
      </c>
    </row>
    <row r="139" spans="6:9" x14ac:dyDescent="0.3">
      <c r="F139" t="s">
        <v>841</v>
      </c>
      <c r="G139" t="str">
        <f t="shared" si="17"/>
        <v>d/28</v>
      </c>
      <c r="H139" t="s">
        <v>1669</v>
      </c>
      <c r="I139">
        <v>7</v>
      </c>
    </row>
    <row r="140" spans="6:9" x14ac:dyDescent="0.3">
      <c r="F140" t="s">
        <v>947</v>
      </c>
      <c r="G140" t="str">
        <f t="shared" si="17"/>
        <v>ed/5</v>
      </c>
      <c r="H140" t="s">
        <v>1670</v>
      </c>
      <c r="I140">
        <v>7</v>
      </c>
    </row>
    <row r="141" spans="6:9" x14ac:dyDescent="0.3">
      <c r="F141" t="s">
        <v>1279</v>
      </c>
      <c r="G141" t="str">
        <f t="shared" si="17"/>
        <v>/503</v>
      </c>
      <c r="H141" t="s">
        <v>1671</v>
      </c>
      <c r="I141">
        <v>0</v>
      </c>
    </row>
    <row r="142" spans="6:9" x14ac:dyDescent="0.3">
      <c r="F142" t="s">
        <v>718</v>
      </c>
      <c r="G142" t="str">
        <f t="shared" si="17"/>
        <v>/504</v>
      </c>
      <c r="H142" t="s">
        <v>1672</v>
      </c>
      <c r="I142">
        <v>8</v>
      </c>
    </row>
    <row r="143" spans="6:9" x14ac:dyDescent="0.3">
      <c r="F143" t="s">
        <v>824</v>
      </c>
      <c r="G143" t="str">
        <f t="shared" si="17"/>
        <v>/525</v>
      </c>
      <c r="H143" t="s">
        <v>1673</v>
      </c>
      <c r="I143">
        <v>6</v>
      </c>
    </row>
    <row r="144" spans="6:9" x14ac:dyDescent="0.3">
      <c r="F144" t="s">
        <v>1136</v>
      </c>
      <c r="G144" t="str">
        <f t="shared" si="17"/>
        <v>/531</v>
      </c>
      <c r="H144" t="s">
        <v>1674</v>
      </c>
      <c r="I144">
        <v>0</v>
      </c>
    </row>
    <row r="145" spans="6:9" x14ac:dyDescent="0.3">
      <c r="F145" t="s">
        <v>766</v>
      </c>
      <c r="G145" t="str">
        <f t="shared" si="17"/>
        <v>/535</v>
      </c>
      <c r="H145" t="s">
        <v>1675</v>
      </c>
      <c r="I145">
        <v>5</v>
      </c>
    </row>
    <row r="146" spans="6:9" x14ac:dyDescent="0.3">
      <c r="F146" t="s">
        <v>632</v>
      </c>
      <c r="G146" t="str">
        <f t="shared" si="17"/>
        <v>/541</v>
      </c>
      <c r="H146" t="s">
        <v>1676</v>
      </c>
      <c r="I146">
        <v>7</v>
      </c>
    </row>
    <row r="147" spans="6:9" x14ac:dyDescent="0.3">
      <c r="F147" t="s">
        <v>751</v>
      </c>
      <c r="G147" t="str">
        <f t="shared" si="17"/>
        <v>/543</v>
      </c>
      <c r="H147" t="s">
        <v>1677</v>
      </c>
      <c r="I147">
        <v>9</v>
      </c>
    </row>
    <row r="148" spans="6:9" x14ac:dyDescent="0.3">
      <c r="F148" t="s">
        <v>780</v>
      </c>
      <c r="G148" t="str">
        <f t="shared" si="17"/>
        <v>/584</v>
      </c>
      <c r="H148" t="s">
        <v>1678</v>
      </c>
      <c r="I148">
        <v>0</v>
      </c>
    </row>
    <row r="149" spans="6:9" x14ac:dyDescent="0.3">
      <c r="F149" t="s">
        <v>1003</v>
      </c>
      <c r="G149" t="str">
        <f t="shared" si="17"/>
        <v>/603</v>
      </c>
      <c r="H149" t="s">
        <v>1679</v>
      </c>
      <c r="I149">
        <v>0</v>
      </c>
    </row>
    <row r="150" spans="6:9" x14ac:dyDescent="0.3">
      <c r="F150" t="s">
        <v>733</v>
      </c>
      <c r="G150" t="str">
        <f t="shared" si="17"/>
        <v>/605</v>
      </c>
      <c r="H150" t="s">
        <v>1680</v>
      </c>
      <c r="I150">
        <v>0</v>
      </c>
    </row>
    <row r="151" spans="6:9" x14ac:dyDescent="0.3">
      <c r="F151" t="s">
        <v>793</v>
      </c>
      <c r="G151" t="str">
        <f t="shared" si="17"/>
        <v>d/61</v>
      </c>
      <c r="H151" t="s">
        <v>1681</v>
      </c>
      <c r="I151">
        <v>4</v>
      </c>
    </row>
    <row r="152" spans="6:9" x14ac:dyDescent="0.3">
      <c r="F152" t="s">
        <v>956</v>
      </c>
      <c r="G152" t="str">
        <f t="shared" si="17"/>
        <v>d/63</v>
      </c>
      <c r="H152" t="s">
        <v>1682</v>
      </c>
      <c r="I152">
        <v>0</v>
      </c>
    </row>
    <row r="153" spans="6:9" x14ac:dyDescent="0.3">
      <c r="F153" t="s">
        <v>1439</v>
      </c>
      <c r="G153" t="str">
        <f t="shared" si="17"/>
        <v>d/66</v>
      </c>
      <c r="H153" t="s">
        <v>1683</v>
      </c>
      <c r="I153">
        <v>6</v>
      </c>
    </row>
    <row r="154" spans="6:9" x14ac:dyDescent="0.3">
      <c r="F154" t="s">
        <v>1323</v>
      </c>
      <c r="G154" t="str">
        <f t="shared" si="17"/>
        <v>7001</v>
      </c>
      <c r="H154" t="s">
        <v>1684</v>
      </c>
      <c r="I154">
        <v>0</v>
      </c>
    </row>
    <row r="155" spans="6:9" x14ac:dyDescent="0.3">
      <c r="F155" t="s">
        <v>1508</v>
      </c>
      <c r="G155" t="str">
        <f t="shared" si="17"/>
        <v>7003</v>
      </c>
      <c r="H155" t="s">
        <v>1685</v>
      </c>
      <c r="I155">
        <v>0</v>
      </c>
    </row>
    <row r="156" spans="6:9" x14ac:dyDescent="0.3">
      <c r="F156" t="s">
        <v>1331</v>
      </c>
      <c r="G156" t="str">
        <f t="shared" si="17"/>
        <v>7004</v>
      </c>
      <c r="H156" t="s">
        <v>1686</v>
      </c>
      <c r="I156">
        <v>0</v>
      </c>
    </row>
    <row r="157" spans="6:9" x14ac:dyDescent="0.3">
      <c r="F157" t="s">
        <v>999</v>
      </c>
      <c r="G157" t="str">
        <f t="shared" si="17"/>
        <v>7006</v>
      </c>
      <c r="H157" t="s">
        <v>1687</v>
      </c>
      <c r="I157">
        <v>0</v>
      </c>
    </row>
    <row r="158" spans="6:9" x14ac:dyDescent="0.3">
      <c r="F158" t="s">
        <v>1520</v>
      </c>
      <c r="G158" t="str">
        <f t="shared" si="17"/>
        <v>7604</v>
      </c>
      <c r="H158" t="s">
        <v>1688</v>
      </c>
      <c r="I158">
        <v>0</v>
      </c>
    </row>
    <row r="159" spans="6:9" x14ac:dyDescent="0.3">
      <c r="F159" t="s">
        <v>608</v>
      </c>
      <c r="G159" t="str">
        <f t="shared" si="17"/>
        <v>7605</v>
      </c>
      <c r="H159" t="s">
        <v>1689</v>
      </c>
      <c r="I159">
        <v>6</v>
      </c>
    </row>
    <row r="160" spans="6:9" x14ac:dyDescent="0.3">
      <c r="F160" t="s">
        <v>588</v>
      </c>
      <c r="G160" t="str">
        <f t="shared" si="17"/>
        <v>7608</v>
      </c>
      <c r="H160" t="s">
        <v>1690</v>
      </c>
      <c r="I160">
        <v>0</v>
      </c>
    </row>
    <row r="161" spans="6:9" x14ac:dyDescent="0.3">
      <c r="F161" t="s">
        <v>878</v>
      </c>
      <c r="G161" t="str">
        <f t="shared" si="17"/>
        <v>7628</v>
      </c>
      <c r="H161" t="s">
        <v>1691</v>
      </c>
      <c r="I161">
        <v>4</v>
      </c>
    </row>
    <row r="162" spans="6:9" x14ac:dyDescent="0.3">
      <c r="F162" t="s">
        <v>1274</v>
      </c>
      <c r="G162" t="str">
        <f t="shared" si="17"/>
        <v>7714</v>
      </c>
      <c r="H162" t="s">
        <v>1692</v>
      </c>
      <c r="I162">
        <v>5</v>
      </c>
    </row>
    <row r="163" spans="6:9" x14ac:dyDescent="0.3">
      <c r="F163" t="s">
        <v>680</v>
      </c>
      <c r="G163" t="str">
        <f t="shared" si="17"/>
        <v>7801</v>
      </c>
      <c r="H163" t="s">
        <v>1693</v>
      </c>
      <c r="I163">
        <v>0</v>
      </c>
    </row>
    <row r="164" spans="6:9" x14ac:dyDescent="0.3">
      <c r="F164" t="s">
        <v>613</v>
      </c>
      <c r="G164" t="str">
        <f t="shared" si="17"/>
        <v>3949</v>
      </c>
      <c r="H164" t="s">
        <v>1694</v>
      </c>
      <c r="I164">
        <v>5</v>
      </c>
    </row>
    <row r="165" spans="6:9" x14ac:dyDescent="0.3">
      <c r="F165" t="s">
        <v>1453</v>
      </c>
      <c r="G165" t="str">
        <f t="shared" si="17"/>
        <v>edab</v>
      </c>
      <c r="H165" t="s">
        <v>1695</v>
      </c>
      <c r="I165">
        <v>8</v>
      </c>
    </row>
    <row r="166" spans="6:9" x14ac:dyDescent="0.3">
      <c r="F166" t="s">
        <v>904</v>
      </c>
      <c r="G166" t="str">
        <f t="shared" si="17"/>
        <v>_034</v>
      </c>
      <c r="H166" t="s">
        <v>1696</v>
      </c>
      <c r="I166">
        <v>4</v>
      </c>
    </row>
    <row r="167" spans="6:9" x14ac:dyDescent="0.3">
      <c r="F167" t="s">
        <v>1397</v>
      </c>
      <c r="G167" t="str">
        <f t="shared" si="17"/>
        <v>_048</v>
      </c>
      <c r="H167" t="s">
        <v>1697</v>
      </c>
      <c r="I167">
        <v>5</v>
      </c>
    </row>
    <row r="168" spans="6:9" x14ac:dyDescent="0.3">
      <c r="F168" t="s">
        <v>1430</v>
      </c>
      <c r="G168" t="str">
        <f t="shared" si="17"/>
        <v>_067</v>
      </c>
      <c r="H168" t="s">
        <v>1698</v>
      </c>
      <c r="I168">
        <v>4</v>
      </c>
    </row>
    <row r="169" spans="6:9" x14ac:dyDescent="0.3">
      <c r="F169" t="s">
        <v>1283</v>
      </c>
      <c r="G169" t="str">
        <f t="shared" si="17"/>
        <v>_074</v>
      </c>
      <c r="H169" t="s">
        <v>1699</v>
      </c>
      <c r="I169">
        <v>0</v>
      </c>
    </row>
    <row r="170" spans="6:9" x14ac:dyDescent="0.3">
      <c r="F170" t="s">
        <v>565</v>
      </c>
      <c r="G170" t="str">
        <f t="shared" si="17"/>
        <v>_102</v>
      </c>
      <c r="H170" t="s">
        <v>1700</v>
      </c>
      <c r="I170">
        <v>0</v>
      </c>
    </row>
    <row r="171" spans="6:9" x14ac:dyDescent="0.3">
      <c r="F171" t="s">
        <v>909</v>
      </c>
      <c r="G171" t="str">
        <f t="shared" si="17"/>
        <v>_112</v>
      </c>
      <c r="H171" t="s">
        <v>1701</v>
      </c>
      <c r="I171">
        <v>4</v>
      </c>
    </row>
    <row r="172" spans="6:9" x14ac:dyDescent="0.3">
      <c r="F172" t="s">
        <v>592</v>
      </c>
      <c r="G172" t="str">
        <f t="shared" si="17"/>
        <v>_168</v>
      </c>
      <c r="H172" t="s">
        <v>1702</v>
      </c>
      <c r="I172">
        <v>0</v>
      </c>
    </row>
    <row r="173" spans="6:9" x14ac:dyDescent="0.3">
      <c r="F173" t="s">
        <v>1241</v>
      </c>
      <c r="G173" t="str">
        <f t="shared" si="17"/>
        <v>_230</v>
      </c>
      <c r="H173" t="s">
        <v>1703</v>
      </c>
      <c r="I173">
        <v>5</v>
      </c>
    </row>
    <row r="174" spans="6:9" x14ac:dyDescent="0.3">
      <c r="F174" t="s">
        <v>1223</v>
      </c>
      <c r="G174" t="str">
        <f t="shared" si="17"/>
        <v>_335</v>
      </c>
      <c r="H174" t="s">
        <v>1704</v>
      </c>
      <c r="I174">
        <v>5</v>
      </c>
    </row>
    <row r="175" spans="6:9" x14ac:dyDescent="0.3">
      <c r="F175" t="s">
        <v>1503</v>
      </c>
      <c r="G175" t="str">
        <f t="shared" si="17"/>
        <v>_358</v>
      </c>
      <c r="H175" t="s">
        <v>1705</v>
      </c>
      <c r="I175">
        <v>6</v>
      </c>
    </row>
    <row r="176" spans="6:9" x14ac:dyDescent="0.3">
      <c r="F176" t="s">
        <v>1085</v>
      </c>
      <c r="G176" t="str">
        <f t="shared" si="17"/>
        <v>6c56</v>
      </c>
      <c r="H176" t="s">
        <v>1706</v>
      </c>
      <c r="I176">
        <v>7</v>
      </c>
    </row>
    <row r="177" spans="6:9" x14ac:dyDescent="0.3">
      <c r="F177" t="s">
        <v>1494</v>
      </c>
      <c r="G177" t="str">
        <f t="shared" si="17"/>
        <v>0aec</v>
      </c>
      <c r="H177" t="s">
        <v>1707</v>
      </c>
      <c r="I177">
        <v>7</v>
      </c>
    </row>
    <row r="178" spans="6:9" x14ac:dyDescent="0.3">
      <c r="F178" t="s">
        <v>555</v>
      </c>
      <c r="G178" t="str">
        <f t="shared" si="17"/>
        <v>5cd4</v>
      </c>
      <c r="H178" t="s">
        <v>1708</v>
      </c>
      <c r="I178">
        <v>5</v>
      </c>
    </row>
    <row r="179" spans="6:9" x14ac:dyDescent="0.3">
      <c r="F179" t="s">
        <v>1057</v>
      </c>
      <c r="G179" t="str">
        <f t="shared" si="17"/>
        <v>bad1</v>
      </c>
      <c r="H179" t="s">
        <v>1709</v>
      </c>
      <c r="I179">
        <v>4</v>
      </c>
    </row>
    <row r="180" spans="6:9" x14ac:dyDescent="0.3">
      <c r="F180" t="s">
        <v>1131</v>
      </c>
      <c r="G180" t="str">
        <f t="shared" si="17"/>
        <v>1_31</v>
      </c>
      <c r="H180" t="s">
        <v>1710</v>
      </c>
      <c r="I180">
        <v>8</v>
      </c>
    </row>
    <row r="181" spans="6:9" x14ac:dyDescent="0.3">
      <c r="F181" t="s">
        <v>618</v>
      </c>
      <c r="G181" t="str">
        <f t="shared" si="17"/>
        <v>2_36</v>
      </c>
      <c r="H181" t="s">
        <v>1711</v>
      </c>
      <c r="I181">
        <v>7</v>
      </c>
    </row>
    <row r="182" spans="6:9" x14ac:dyDescent="0.3">
      <c r="F182" t="s">
        <v>1255</v>
      </c>
      <c r="G182" t="str">
        <f t="shared" si="17"/>
        <v>3_28</v>
      </c>
      <c r="H182" t="s">
        <v>1712</v>
      </c>
      <c r="I182">
        <v>0</v>
      </c>
    </row>
    <row r="183" spans="6:9" x14ac:dyDescent="0.3">
      <c r="F183" t="s">
        <v>584</v>
      </c>
      <c r="G183" t="str">
        <f t="shared" si="17"/>
        <v>4_14</v>
      </c>
      <c r="H183" t="s">
        <v>1713</v>
      </c>
      <c r="I183">
        <v>0</v>
      </c>
    </row>
    <row r="184" spans="6:9" x14ac:dyDescent="0.3">
      <c r="F184" t="s">
        <v>1214</v>
      </c>
      <c r="G184" t="str">
        <f t="shared" si="17"/>
        <v>5_26</v>
      </c>
      <c r="H184" t="s">
        <v>1714</v>
      </c>
      <c r="I184">
        <v>0</v>
      </c>
    </row>
    <row r="185" spans="6:9" x14ac:dyDescent="0.3">
      <c r="F185" t="s">
        <v>1388</v>
      </c>
      <c r="G185" t="str">
        <f t="shared" si="17"/>
        <v>6_25</v>
      </c>
      <c r="H185" t="s">
        <v>1715</v>
      </c>
      <c r="I185">
        <v>6</v>
      </c>
    </row>
    <row r="186" spans="6:9" x14ac:dyDescent="0.3">
      <c r="F186" t="s">
        <v>1418</v>
      </c>
      <c r="G186" t="str">
        <f t="shared" si="17"/>
        <v>7_20</v>
      </c>
      <c r="H186" t="s">
        <v>1716</v>
      </c>
      <c r="I186">
        <v>0</v>
      </c>
    </row>
    <row r="187" spans="6:9" x14ac:dyDescent="0.3">
      <c r="F187" t="s">
        <v>1191</v>
      </c>
      <c r="G187" t="str">
        <f t="shared" si="17"/>
        <v>8_18</v>
      </c>
      <c r="H187" t="s">
        <v>1717</v>
      </c>
      <c r="I187">
        <v>6</v>
      </c>
    </row>
    <row r="188" spans="6:9" x14ac:dyDescent="0.3">
      <c r="F188" t="s">
        <v>1201</v>
      </c>
      <c r="G188" t="str">
        <f t="shared" si="17"/>
        <v>9_28</v>
      </c>
      <c r="H188" t="s">
        <v>1718</v>
      </c>
      <c r="I188">
        <v>6</v>
      </c>
    </row>
    <row r="189" spans="6:9" x14ac:dyDescent="0.3">
      <c r="F189" t="s">
        <v>1179</v>
      </c>
      <c r="G189" t="str">
        <f t="shared" si="17"/>
        <v>4_24</v>
      </c>
      <c r="H189" t="s">
        <v>1719</v>
      </c>
      <c r="I189">
        <v>0</v>
      </c>
    </row>
    <row r="190" spans="6:9" x14ac:dyDescent="0.3">
      <c r="F190" t="s">
        <v>1490</v>
      </c>
      <c r="G190" t="str">
        <f t="shared" si="17"/>
        <v>1-00</v>
      </c>
      <c r="H190" t="s">
        <v>1720</v>
      </c>
      <c r="I190">
        <v>0</v>
      </c>
    </row>
    <row r="191" spans="6:9" x14ac:dyDescent="0.3">
      <c r="F191" t="s">
        <v>1524</v>
      </c>
      <c r="G191" t="str">
        <f t="shared" si="17"/>
        <v>2-00</v>
      </c>
      <c r="H191" t="s">
        <v>1721</v>
      </c>
      <c r="I191">
        <v>4</v>
      </c>
    </row>
    <row r="192" spans="6:9" x14ac:dyDescent="0.3">
      <c r="F192" t="s">
        <v>1007</v>
      </c>
      <c r="G192" t="str">
        <f t="shared" si="17"/>
        <v>7-00</v>
      </c>
      <c r="H192" t="s">
        <v>1722</v>
      </c>
      <c r="I192">
        <v>0</v>
      </c>
    </row>
    <row r="193" spans="6:9" x14ac:dyDescent="0.3">
      <c r="F193" t="s">
        <v>771</v>
      </c>
      <c r="G193" t="str">
        <f t="shared" si="17"/>
        <v>3-00</v>
      </c>
      <c r="H193" t="s">
        <v>1723</v>
      </c>
      <c r="I193">
        <v>0</v>
      </c>
    </row>
    <row r="194" spans="6:9" x14ac:dyDescent="0.3">
      <c r="F194" t="s">
        <v>1228</v>
      </c>
      <c r="G194" t="str">
        <f t="shared" si="17"/>
        <v>7-00</v>
      </c>
      <c r="H194" t="s">
        <v>1722</v>
      </c>
      <c r="I194">
        <v>0</v>
      </c>
    </row>
    <row r="195" spans="6:9" x14ac:dyDescent="0.3">
      <c r="F195" t="s">
        <v>1021</v>
      </c>
      <c r="G195" t="str">
        <f t="shared" ref="G195:G223" si="18">LEFT(RIGHT(F195,8),4)</f>
        <v>4-00</v>
      </c>
      <c r="H195" t="s">
        <v>1724</v>
      </c>
      <c r="I195">
        <v>0</v>
      </c>
    </row>
    <row r="196" spans="6:9" x14ac:dyDescent="0.3">
      <c r="F196" t="s">
        <v>1463</v>
      </c>
      <c r="G196" t="str">
        <f t="shared" si="18"/>
        <v>7-00</v>
      </c>
      <c r="H196" t="s">
        <v>1722</v>
      </c>
      <c r="I196">
        <v>4</v>
      </c>
    </row>
    <row r="197" spans="6:9" x14ac:dyDescent="0.3">
      <c r="F197" t="s">
        <v>1292</v>
      </c>
      <c r="G197" t="str">
        <f t="shared" si="18"/>
        <v>5-00</v>
      </c>
      <c r="H197" t="s">
        <v>1725</v>
      </c>
      <c r="I197">
        <v>0</v>
      </c>
    </row>
    <row r="198" spans="6:9" x14ac:dyDescent="0.3">
      <c r="F198" t="s">
        <v>1327</v>
      </c>
      <c r="G198" t="str">
        <f t="shared" si="18"/>
        <v>7-00</v>
      </c>
      <c r="H198" t="s">
        <v>1722</v>
      </c>
      <c r="I198">
        <v>0</v>
      </c>
    </row>
    <row r="199" spans="6:9" x14ac:dyDescent="0.3">
      <c r="F199" t="s">
        <v>1473</v>
      </c>
      <c r="G199" t="str">
        <f t="shared" si="18"/>
        <v>5-00</v>
      </c>
      <c r="H199" t="s">
        <v>1725</v>
      </c>
      <c r="I199">
        <v>0</v>
      </c>
    </row>
    <row r="200" spans="6:9" x14ac:dyDescent="0.3">
      <c r="F200" t="s">
        <v>883</v>
      </c>
      <c r="G200" t="str">
        <f t="shared" si="18"/>
        <v>36d2</v>
      </c>
      <c r="H200" t="s">
        <v>1726</v>
      </c>
      <c r="I200">
        <v>8</v>
      </c>
    </row>
    <row r="201" spans="6:9" x14ac:dyDescent="0.3">
      <c r="F201" t="s">
        <v>860</v>
      </c>
      <c r="G201" t="str">
        <f t="shared" si="18"/>
        <v>63d4</v>
      </c>
      <c r="H201" t="s">
        <v>1727</v>
      </c>
      <c r="I201">
        <v>0</v>
      </c>
    </row>
    <row r="202" spans="6:9" x14ac:dyDescent="0.3">
      <c r="F202" t="s">
        <v>959</v>
      </c>
      <c r="G202" t="str">
        <f t="shared" si="18"/>
        <v>8900</v>
      </c>
      <c r="H202" t="s">
        <v>1728</v>
      </c>
      <c r="I202">
        <v>7</v>
      </c>
    </row>
    <row r="203" spans="6:9" x14ac:dyDescent="0.3">
      <c r="F203" t="s">
        <v>1162</v>
      </c>
      <c r="G203" t="str">
        <f t="shared" si="18"/>
        <v>aJ7Q</v>
      </c>
      <c r="H203" t="s">
        <v>1729</v>
      </c>
      <c r="I203">
        <v>0</v>
      </c>
    </row>
    <row r="204" spans="6:9" x14ac:dyDescent="0.3">
      <c r="F204" t="s">
        <v>1025</v>
      </c>
      <c r="G204" t="str">
        <f t="shared" si="18"/>
        <v>c055</v>
      </c>
      <c r="H204" t="s">
        <v>1730</v>
      </c>
      <c r="I204">
        <v>8</v>
      </c>
    </row>
    <row r="205" spans="6:9" x14ac:dyDescent="0.3">
      <c r="F205" t="s">
        <v>829</v>
      </c>
      <c r="G205" t="str">
        <f t="shared" si="18"/>
        <v>_012</v>
      </c>
      <c r="H205" t="s">
        <v>1731</v>
      </c>
      <c r="I205">
        <v>0</v>
      </c>
    </row>
    <row r="206" spans="6:9" x14ac:dyDescent="0.3">
      <c r="F206" t="s">
        <v>651</v>
      </c>
      <c r="G206" t="str">
        <f t="shared" si="18"/>
        <v>_021</v>
      </c>
      <c r="H206" t="s">
        <v>1732</v>
      </c>
      <c r="I206">
        <v>0</v>
      </c>
    </row>
    <row r="207" spans="6:9" x14ac:dyDescent="0.3">
      <c r="F207" t="s">
        <v>604</v>
      </c>
      <c r="G207" t="str">
        <f t="shared" si="18"/>
        <v>_039</v>
      </c>
      <c r="H207" t="s">
        <v>1733</v>
      </c>
      <c r="I207">
        <v>0</v>
      </c>
    </row>
    <row r="208" spans="6:9" x14ac:dyDescent="0.3">
      <c r="F208" t="s">
        <v>628</v>
      </c>
      <c r="G208" t="str">
        <f t="shared" si="18"/>
        <v>_075</v>
      </c>
      <c r="H208" t="s">
        <v>1734</v>
      </c>
      <c r="I208">
        <v>0</v>
      </c>
    </row>
    <row r="209" spans="6:9" x14ac:dyDescent="0.3">
      <c r="F209" t="s">
        <v>1343</v>
      </c>
      <c r="G209" t="str">
        <f t="shared" si="18"/>
        <v>_102</v>
      </c>
      <c r="H209" t="s">
        <v>1700</v>
      </c>
      <c r="I209">
        <v>0</v>
      </c>
    </row>
    <row r="210" spans="6:9" x14ac:dyDescent="0.3">
      <c r="F210" t="s">
        <v>1123</v>
      </c>
      <c r="G210" t="str">
        <f t="shared" si="18"/>
        <v>_111</v>
      </c>
      <c r="H210" t="s">
        <v>1735</v>
      </c>
      <c r="I210">
        <v>0</v>
      </c>
    </row>
    <row r="211" spans="6:9" x14ac:dyDescent="0.3">
      <c r="F211" t="s">
        <v>1154</v>
      </c>
      <c r="G211" t="str">
        <f t="shared" si="18"/>
        <v>_129</v>
      </c>
      <c r="H211" t="s">
        <v>1736</v>
      </c>
      <c r="I211">
        <v>0</v>
      </c>
    </row>
    <row r="212" spans="6:9" x14ac:dyDescent="0.3">
      <c r="F212" t="s">
        <v>1062</v>
      </c>
      <c r="G212" t="str">
        <f t="shared" si="18"/>
        <v>_156</v>
      </c>
      <c r="H212" t="s">
        <v>1737</v>
      </c>
      <c r="I212">
        <v>0</v>
      </c>
    </row>
    <row r="213" spans="6:9" x14ac:dyDescent="0.3">
      <c r="F213" t="s">
        <v>1352</v>
      </c>
      <c r="G213" t="str">
        <f t="shared" si="18"/>
        <v>_183</v>
      </c>
      <c r="H213" t="s">
        <v>1738</v>
      </c>
      <c r="I213">
        <v>0</v>
      </c>
    </row>
    <row r="214" spans="6:9" x14ac:dyDescent="0.3">
      <c r="F214" t="s">
        <v>1516</v>
      </c>
      <c r="G214" t="str">
        <f t="shared" si="18"/>
        <v>_219</v>
      </c>
      <c r="H214" t="s">
        <v>1739</v>
      </c>
      <c r="I214">
        <v>0</v>
      </c>
    </row>
    <row r="215" spans="6:9" x14ac:dyDescent="0.3">
      <c r="F215" t="s">
        <v>658</v>
      </c>
      <c r="G215" t="str">
        <f t="shared" si="18"/>
        <v>2061</v>
      </c>
      <c r="H215" t="s">
        <v>1740</v>
      </c>
      <c r="I215">
        <v>4</v>
      </c>
    </row>
    <row r="216" spans="6:9" x14ac:dyDescent="0.3">
      <c r="F216" t="s">
        <v>1145</v>
      </c>
      <c r="G216" t="str">
        <f t="shared" si="18"/>
        <v>9335</v>
      </c>
      <c r="H216" t="s">
        <v>1741</v>
      </c>
      <c r="I216">
        <v>7</v>
      </c>
    </row>
    <row r="217" spans="6:9" x14ac:dyDescent="0.3">
      <c r="F217" t="s">
        <v>855</v>
      </c>
      <c r="G217" t="str">
        <f t="shared" si="18"/>
        <v>4751</v>
      </c>
      <c r="H217" t="s">
        <v>1742</v>
      </c>
      <c r="I217">
        <v>4</v>
      </c>
    </row>
    <row r="218" spans="6:9" x14ac:dyDescent="0.3">
      <c r="F218" t="s">
        <v>1095</v>
      </c>
      <c r="G218" t="str">
        <f t="shared" si="18"/>
        <v>9473</v>
      </c>
      <c r="H218" t="s">
        <v>1743</v>
      </c>
      <c r="I218">
        <v>6</v>
      </c>
    </row>
    <row r="219" spans="6:9" x14ac:dyDescent="0.3">
      <c r="F219" t="s">
        <v>646</v>
      </c>
      <c r="G219" t="str">
        <f t="shared" si="18"/>
        <v>9105</v>
      </c>
      <c r="H219" t="s">
        <v>1744</v>
      </c>
      <c r="I219">
        <v>8</v>
      </c>
    </row>
    <row r="220" spans="6:9" x14ac:dyDescent="0.3">
      <c r="F220" t="s">
        <v>918</v>
      </c>
      <c r="G220" t="str">
        <f t="shared" si="18"/>
        <v>13Pw</v>
      </c>
      <c r="H220" t="s">
        <v>1745</v>
      </c>
      <c r="I220">
        <v>0</v>
      </c>
    </row>
    <row r="221" spans="6:9" x14ac:dyDescent="0.3">
      <c r="F221" t="s">
        <v>538</v>
      </c>
      <c r="G221" t="str">
        <f t="shared" si="18"/>
        <v>C4DQ</v>
      </c>
      <c r="H221" t="s">
        <v>1746</v>
      </c>
      <c r="I221">
        <v>7</v>
      </c>
    </row>
    <row r="222" spans="6:9" x14ac:dyDescent="0.3">
      <c r="F222" t="s">
        <v>995</v>
      </c>
      <c r="G222" t="str">
        <f t="shared" si="18"/>
        <v>Ty5w</v>
      </c>
      <c r="H222" t="s">
        <v>1747</v>
      </c>
      <c r="I222">
        <v>0</v>
      </c>
    </row>
    <row r="223" spans="6:9" x14ac:dyDescent="0.3">
      <c r="F223" t="s">
        <v>637</v>
      </c>
      <c r="G223" t="str">
        <f t="shared" si="18"/>
        <v>5vXw</v>
      </c>
      <c r="H223" t="s">
        <v>1748</v>
      </c>
      <c r="I223">
        <v>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FE6AB-96EA-4461-B73E-4739E1B60A67}">
  <dimension ref="A2:B21"/>
  <sheetViews>
    <sheetView tabSelected="1" workbookViewId="0">
      <selection activeCell="A2" sqref="A2:B21"/>
    </sheetView>
  </sheetViews>
  <sheetFormatPr defaultRowHeight="14.4" x14ac:dyDescent="0.3"/>
  <cols>
    <col min="1" max="1" width="35.5546875" bestFit="1" customWidth="1"/>
    <col min="2" max="2" width="14.21875" bestFit="1" customWidth="1"/>
    <col min="3" max="3" width="29.33203125" customWidth="1"/>
  </cols>
  <sheetData>
    <row r="2" spans="1:2" x14ac:dyDescent="0.3">
      <c r="A2" s="6" t="s">
        <v>1765</v>
      </c>
      <c r="B2" s="6" t="s">
        <v>1785</v>
      </c>
    </row>
    <row r="3" spans="1:2" x14ac:dyDescent="0.3">
      <c r="A3" s="7" t="s">
        <v>1766</v>
      </c>
      <c r="B3" s="7">
        <v>111</v>
      </c>
    </row>
    <row r="4" spans="1:2" x14ac:dyDescent="0.3">
      <c r="A4" s="7" t="s">
        <v>1767</v>
      </c>
      <c r="B4" s="8">
        <v>4.9459459459459456</v>
      </c>
    </row>
    <row r="5" spans="1:2" x14ac:dyDescent="0.3">
      <c r="A5" s="7" t="s">
        <v>1768</v>
      </c>
      <c r="B5" s="8">
        <v>2.6306306306306309</v>
      </c>
    </row>
    <row r="6" spans="1:2" x14ac:dyDescent="0.3">
      <c r="A6" s="7" t="s">
        <v>1769</v>
      </c>
      <c r="B6" s="8">
        <v>-2.3153153153153152</v>
      </c>
    </row>
    <row r="7" spans="1:2" x14ac:dyDescent="0.3">
      <c r="A7" s="7" t="s">
        <v>1770</v>
      </c>
      <c r="B7" s="7" t="s">
        <v>1906</v>
      </c>
    </row>
    <row r="8" spans="1:2" x14ac:dyDescent="0.3">
      <c r="A8" s="7" t="s">
        <v>1771</v>
      </c>
      <c r="B8" s="9">
        <v>9.0254005800550721E-15</v>
      </c>
    </row>
    <row r="9" spans="1:2" x14ac:dyDescent="0.3">
      <c r="A9" s="7" t="s">
        <v>1772</v>
      </c>
      <c r="B9" s="9">
        <v>1.4347099876505869E-12</v>
      </c>
    </row>
    <row r="10" spans="1:2" x14ac:dyDescent="0.3">
      <c r="A10" s="7" t="s">
        <v>1773</v>
      </c>
      <c r="B10" s="9">
        <v>0.6083565179655761</v>
      </c>
    </row>
    <row r="11" spans="1:2" x14ac:dyDescent="0.3">
      <c r="A11" s="7" t="s">
        <v>1774</v>
      </c>
      <c r="B11" s="9">
        <v>1.419180447680998E-12</v>
      </c>
    </row>
    <row r="12" spans="1:2" x14ac:dyDescent="0.3">
      <c r="A12" s="7" t="s">
        <v>1775</v>
      </c>
      <c r="B12" s="9">
        <v>0.6371069200187145</v>
      </c>
    </row>
    <row r="13" spans="1:2" x14ac:dyDescent="0.3">
      <c r="A13" s="7" t="s">
        <v>1776</v>
      </c>
      <c r="B13" s="9">
        <v>5.5924659213693991E-14</v>
      </c>
    </row>
    <row r="14" spans="1:2" x14ac:dyDescent="0.3">
      <c r="A14" s="7" t="s">
        <v>1777</v>
      </c>
      <c r="B14" s="8">
        <v>0.99099099099099097</v>
      </c>
    </row>
    <row r="15" spans="1:2" x14ac:dyDescent="0.3">
      <c r="A15" s="7" t="s">
        <v>1778</v>
      </c>
      <c r="B15" s="8">
        <v>0.47747747747747749</v>
      </c>
    </row>
    <row r="16" spans="1:2" x14ac:dyDescent="0.3">
      <c r="A16" s="7" t="s">
        <v>1779</v>
      </c>
      <c r="B16" s="8">
        <v>-0.51351351351351349</v>
      </c>
    </row>
    <row r="17" spans="1:2" x14ac:dyDescent="0.3">
      <c r="A17" s="7" t="s">
        <v>1780</v>
      </c>
      <c r="B17" s="7" t="s">
        <v>1907</v>
      </c>
    </row>
    <row r="18" spans="1:2" x14ac:dyDescent="0.3">
      <c r="A18" s="7" t="s">
        <v>1781</v>
      </c>
      <c r="B18" s="9">
        <v>2.3583279248973699E-14</v>
      </c>
    </row>
    <row r="19" spans="1:2" x14ac:dyDescent="0.3">
      <c r="A19" s="7" t="s">
        <v>1782</v>
      </c>
      <c r="B19" s="9">
        <v>1.8355233058205038E-11</v>
      </c>
    </row>
    <row r="20" spans="1:2" x14ac:dyDescent="0.3">
      <c r="A20" s="7" t="s">
        <v>1783</v>
      </c>
      <c r="B20" s="8">
        <v>0.2747747747747748</v>
      </c>
    </row>
    <row r="21" spans="1:2" x14ac:dyDescent="0.3">
      <c r="A21" s="7" t="s">
        <v>1784</v>
      </c>
      <c r="B21" s="8">
        <v>27.027027027027032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1ECE2-E347-4D23-BAF3-C1A29C3DA635}">
  <dimension ref="A1:Q112"/>
  <sheetViews>
    <sheetView workbookViewId="0">
      <selection activeCell="M21" sqref="M21"/>
    </sheetView>
  </sheetViews>
  <sheetFormatPr defaultRowHeight="14.4" x14ac:dyDescent="0.3"/>
  <cols>
    <col min="17" max="17" width="12.88671875" customWidth="1"/>
  </cols>
  <sheetData>
    <row r="1" spans="1:17" x14ac:dyDescent="0.3">
      <c r="A1" s="6" t="s">
        <v>1905</v>
      </c>
      <c r="B1" s="6" t="s">
        <v>2051</v>
      </c>
      <c r="C1" s="6" t="s">
        <v>2050</v>
      </c>
      <c r="D1" s="6" t="s">
        <v>1904</v>
      </c>
      <c r="E1" s="6" t="s">
        <v>1901</v>
      </c>
      <c r="F1" s="6" t="s">
        <v>1897</v>
      </c>
      <c r="G1" s="6" t="s">
        <v>1903</v>
      </c>
      <c r="H1" s="6" t="s">
        <v>1900</v>
      </c>
      <c r="I1" s="6" t="s">
        <v>1898</v>
      </c>
      <c r="J1" s="6" t="s">
        <v>1902</v>
      </c>
      <c r="K1" s="6" t="s">
        <v>1899</v>
      </c>
      <c r="L1" s="6" t="s">
        <v>2049</v>
      </c>
      <c r="M1" s="6" t="s">
        <v>2048</v>
      </c>
      <c r="N1" s="6" t="s">
        <v>2045</v>
      </c>
      <c r="O1" s="6" t="s">
        <v>2047</v>
      </c>
      <c r="P1" s="6" t="s">
        <v>2046</v>
      </c>
      <c r="Q1" s="6" t="s">
        <v>2045</v>
      </c>
    </row>
    <row r="2" spans="1:17" x14ac:dyDescent="0.3">
      <c r="A2" t="s">
        <v>1896</v>
      </c>
      <c r="B2" t="s">
        <v>422</v>
      </c>
      <c r="C2" t="s">
        <v>742</v>
      </c>
      <c r="D2">
        <v>1</v>
      </c>
      <c r="E2">
        <v>0</v>
      </c>
      <c r="F2">
        <v>-1</v>
      </c>
      <c r="G2">
        <v>6</v>
      </c>
      <c r="H2">
        <v>0</v>
      </c>
      <c r="I2">
        <v>-6</v>
      </c>
      <c r="J2">
        <v>6</v>
      </c>
      <c r="K2">
        <v>0</v>
      </c>
      <c r="L2" t="s">
        <v>1968</v>
      </c>
      <c r="N2">
        <v>0</v>
      </c>
      <c r="O2" t="s">
        <v>1924</v>
      </c>
      <c r="Q2">
        <v>0</v>
      </c>
    </row>
    <row r="3" spans="1:17" x14ac:dyDescent="0.3">
      <c r="A3" t="s">
        <v>1895</v>
      </c>
      <c r="B3" t="s">
        <v>363</v>
      </c>
      <c r="C3" t="s">
        <v>1048</v>
      </c>
      <c r="D3">
        <v>1</v>
      </c>
      <c r="E3">
        <v>1</v>
      </c>
      <c r="F3">
        <v>0</v>
      </c>
      <c r="G3">
        <v>4</v>
      </c>
      <c r="H3">
        <v>3</v>
      </c>
      <c r="I3">
        <v>-1</v>
      </c>
      <c r="J3">
        <v>4</v>
      </c>
      <c r="K3">
        <v>3</v>
      </c>
      <c r="L3" t="s">
        <v>2044</v>
      </c>
      <c r="M3" t="s">
        <v>2043</v>
      </c>
      <c r="N3">
        <v>0</v>
      </c>
      <c r="O3" t="s">
        <v>1924</v>
      </c>
      <c r="P3" t="s">
        <v>1924</v>
      </c>
      <c r="Q3">
        <v>0</v>
      </c>
    </row>
    <row r="4" spans="1:17" x14ac:dyDescent="0.3">
      <c r="A4" t="s">
        <v>1894</v>
      </c>
      <c r="B4" t="s">
        <v>516</v>
      </c>
      <c r="C4" t="s">
        <v>1080</v>
      </c>
      <c r="D4">
        <v>2</v>
      </c>
      <c r="E4">
        <v>1</v>
      </c>
      <c r="F4">
        <v>-1</v>
      </c>
      <c r="G4">
        <v>6</v>
      </c>
      <c r="H4">
        <v>6</v>
      </c>
      <c r="I4">
        <v>0</v>
      </c>
      <c r="J4">
        <v>6</v>
      </c>
      <c r="K4">
        <v>6</v>
      </c>
      <c r="L4" t="s">
        <v>2042</v>
      </c>
      <c r="M4" t="s">
        <v>2041</v>
      </c>
      <c r="N4">
        <v>0</v>
      </c>
      <c r="O4" t="s">
        <v>1924</v>
      </c>
      <c r="P4" t="s">
        <v>1916</v>
      </c>
      <c r="Q4">
        <v>0</v>
      </c>
    </row>
    <row r="5" spans="1:17" x14ac:dyDescent="0.3">
      <c r="A5" t="s">
        <v>1893</v>
      </c>
      <c r="B5" t="s">
        <v>298</v>
      </c>
      <c r="C5" t="s">
        <v>939</v>
      </c>
      <c r="D5">
        <v>0</v>
      </c>
      <c r="E5">
        <v>0</v>
      </c>
      <c r="F5">
        <v>0</v>
      </c>
      <c r="G5">
        <v>0</v>
      </c>
      <c r="H5">
        <v>0</v>
      </c>
      <c r="I5">
        <v>0</v>
      </c>
      <c r="J5">
        <v>0</v>
      </c>
      <c r="K5">
        <v>0</v>
      </c>
      <c r="N5">
        <v>1</v>
      </c>
      <c r="Q5">
        <v>1</v>
      </c>
    </row>
    <row r="6" spans="1:17" x14ac:dyDescent="0.3">
      <c r="A6" t="s">
        <v>1892</v>
      </c>
      <c r="B6" t="s">
        <v>98</v>
      </c>
      <c r="C6" t="s">
        <v>1175</v>
      </c>
      <c r="D6">
        <v>0</v>
      </c>
      <c r="E6">
        <v>0</v>
      </c>
      <c r="F6">
        <v>0</v>
      </c>
      <c r="G6">
        <v>0</v>
      </c>
      <c r="H6">
        <v>0</v>
      </c>
      <c r="I6">
        <v>0</v>
      </c>
      <c r="J6">
        <v>0</v>
      </c>
      <c r="K6">
        <v>0</v>
      </c>
      <c r="N6">
        <v>1</v>
      </c>
      <c r="Q6">
        <v>1</v>
      </c>
    </row>
    <row r="7" spans="1:17" x14ac:dyDescent="0.3">
      <c r="A7" t="s">
        <v>1891</v>
      </c>
      <c r="B7" t="s">
        <v>348</v>
      </c>
      <c r="C7" t="s">
        <v>977</v>
      </c>
      <c r="D7">
        <v>1</v>
      </c>
      <c r="E7">
        <v>0</v>
      </c>
      <c r="F7">
        <v>-1</v>
      </c>
      <c r="G7">
        <v>5</v>
      </c>
      <c r="H7">
        <v>0</v>
      </c>
      <c r="I7">
        <v>-5</v>
      </c>
      <c r="J7">
        <v>5</v>
      </c>
      <c r="K7">
        <v>0</v>
      </c>
      <c r="L7" t="s">
        <v>2040</v>
      </c>
      <c r="N7">
        <v>0</v>
      </c>
      <c r="O7" t="s">
        <v>1913</v>
      </c>
      <c r="Q7">
        <v>0</v>
      </c>
    </row>
    <row r="8" spans="1:17" x14ac:dyDescent="0.3">
      <c r="A8" t="s">
        <v>1890</v>
      </c>
      <c r="B8" t="s">
        <v>122</v>
      </c>
      <c r="C8" t="s">
        <v>1104</v>
      </c>
      <c r="D8">
        <v>1</v>
      </c>
      <c r="E8">
        <v>0</v>
      </c>
      <c r="F8">
        <v>-1</v>
      </c>
      <c r="G8">
        <v>6</v>
      </c>
      <c r="H8">
        <v>0</v>
      </c>
      <c r="I8">
        <v>-6</v>
      </c>
      <c r="J8">
        <v>6</v>
      </c>
      <c r="K8">
        <v>0</v>
      </c>
      <c r="L8" t="s">
        <v>2039</v>
      </c>
      <c r="N8">
        <v>0</v>
      </c>
      <c r="O8" t="s">
        <v>1913</v>
      </c>
      <c r="Q8">
        <v>0</v>
      </c>
    </row>
    <row r="9" spans="1:17" x14ac:dyDescent="0.3">
      <c r="A9" t="s">
        <v>1889</v>
      </c>
      <c r="B9" t="s">
        <v>31</v>
      </c>
      <c r="C9" t="s">
        <v>703</v>
      </c>
      <c r="D9">
        <v>1</v>
      </c>
      <c r="E9">
        <v>1</v>
      </c>
      <c r="F9">
        <v>0</v>
      </c>
      <c r="G9">
        <v>5</v>
      </c>
      <c r="H9">
        <v>4</v>
      </c>
      <c r="I9">
        <v>-1</v>
      </c>
      <c r="J9">
        <v>5</v>
      </c>
      <c r="K9">
        <v>4</v>
      </c>
      <c r="L9" t="s">
        <v>1968</v>
      </c>
      <c r="M9" t="s">
        <v>1968</v>
      </c>
      <c r="N9">
        <v>1</v>
      </c>
      <c r="O9" t="s">
        <v>1924</v>
      </c>
      <c r="P9" t="s">
        <v>1924</v>
      </c>
      <c r="Q9">
        <v>1</v>
      </c>
    </row>
    <row r="10" spans="1:17" x14ac:dyDescent="0.3">
      <c r="A10" t="s">
        <v>1888</v>
      </c>
      <c r="B10" t="s">
        <v>293</v>
      </c>
      <c r="C10" t="s">
        <v>1108</v>
      </c>
      <c r="D10">
        <v>3</v>
      </c>
      <c r="E10">
        <v>2</v>
      </c>
      <c r="F10">
        <v>-1</v>
      </c>
      <c r="G10">
        <v>6</v>
      </c>
      <c r="H10">
        <v>5</v>
      </c>
      <c r="I10">
        <v>-1</v>
      </c>
      <c r="J10">
        <v>6</v>
      </c>
      <c r="K10">
        <v>5</v>
      </c>
      <c r="L10" t="s">
        <v>2038</v>
      </c>
      <c r="M10" t="s">
        <v>2037</v>
      </c>
      <c r="N10">
        <v>0</v>
      </c>
      <c r="O10" t="s">
        <v>2036</v>
      </c>
      <c r="P10" t="s">
        <v>2036</v>
      </c>
      <c r="Q10">
        <v>0</v>
      </c>
    </row>
    <row r="11" spans="1:17" x14ac:dyDescent="0.3">
      <c r="A11" t="s">
        <v>1887</v>
      </c>
      <c r="B11" t="s">
        <v>511</v>
      </c>
      <c r="C11" t="s">
        <v>746</v>
      </c>
      <c r="D11">
        <v>1</v>
      </c>
      <c r="E11">
        <v>1</v>
      </c>
      <c r="F11">
        <v>0</v>
      </c>
      <c r="G11">
        <v>6</v>
      </c>
      <c r="H11">
        <v>4</v>
      </c>
      <c r="I11">
        <v>-2</v>
      </c>
      <c r="J11">
        <v>6</v>
      </c>
      <c r="K11">
        <v>4</v>
      </c>
      <c r="L11" t="s">
        <v>2035</v>
      </c>
      <c r="M11" t="s">
        <v>2035</v>
      </c>
      <c r="N11">
        <v>1</v>
      </c>
      <c r="O11" t="s">
        <v>1924</v>
      </c>
      <c r="P11" t="s">
        <v>1924</v>
      </c>
      <c r="Q11">
        <v>1</v>
      </c>
    </row>
    <row r="12" spans="1:17" x14ac:dyDescent="0.3">
      <c r="A12" t="s">
        <v>1886</v>
      </c>
      <c r="B12" t="s">
        <v>338</v>
      </c>
      <c r="C12" t="s">
        <v>708</v>
      </c>
      <c r="D12">
        <v>1</v>
      </c>
      <c r="E12">
        <v>1</v>
      </c>
      <c r="F12">
        <v>0</v>
      </c>
      <c r="G12">
        <v>7</v>
      </c>
      <c r="H12">
        <v>7</v>
      </c>
      <c r="I12">
        <v>0</v>
      </c>
      <c r="J12">
        <v>7</v>
      </c>
      <c r="K12">
        <v>7</v>
      </c>
      <c r="L12" t="s">
        <v>2015</v>
      </c>
      <c r="M12" t="s">
        <v>2034</v>
      </c>
      <c r="N12">
        <v>0</v>
      </c>
      <c r="O12" t="s">
        <v>1916</v>
      </c>
      <c r="P12" t="s">
        <v>1916</v>
      </c>
      <c r="Q12">
        <v>0</v>
      </c>
    </row>
    <row r="13" spans="1:17" x14ac:dyDescent="0.3">
      <c r="A13" t="s">
        <v>1885</v>
      </c>
      <c r="B13" t="s">
        <v>463</v>
      </c>
      <c r="C13" t="s">
        <v>1335</v>
      </c>
      <c r="D13">
        <v>1</v>
      </c>
      <c r="E13">
        <v>0</v>
      </c>
      <c r="F13">
        <v>-1</v>
      </c>
      <c r="G13">
        <v>9</v>
      </c>
      <c r="H13">
        <v>0</v>
      </c>
      <c r="I13">
        <v>-9</v>
      </c>
      <c r="J13">
        <v>9</v>
      </c>
      <c r="K13">
        <v>0</v>
      </c>
      <c r="L13" t="s">
        <v>2033</v>
      </c>
      <c r="N13">
        <v>0</v>
      </c>
      <c r="O13" t="s">
        <v>1916</v>
      </c>
      <c r="Q13">
        <v>0</v>
      </c>
    </row>
    <row r="14" spans="1:17" x14ac:dyDescent="0.3">
      <c r="A14" t="s">
        <v>1884</v>
      </c>
      <c r="B14" t="s">
        <v>343</v>
      </c>
      <c r="C14" t="s">
        <v>1218</v>
      </c>
      <c r="D14">
        <v>1</v>
      </c>
      <c r="E14">
        <v>1</v>
      </c>
      <c r="F14">
        <v>0</v>
      </c>
      <c r="G14">
        <v>8</v>
      </c>
      <c r="H14">
        <v>7</v>
      </c>
      <c r="I14">
        <v>-1</v>
      </c>
      <c r="J14">
        <v>8</v>
      </c>
      <c r="K14">
        <v>7</v>
      </c>
      <c r="L14" t="s">
        <v>2032</v>
      </c>
      <c r="M14" t="s">
        <v>1988</v>
      </c>
      <c r="N14">
        <v>0</v>
      </c>
      <c r="O14" t="s">
        <v>1916</v>
      </c>
      <c r="P14" t="s">
        <v>1916</v>
      </c>
      <c r="Q14">
        <v>0</v>
      </c>
    </row>
    <row r="15" spans="1:17" x14ac:dyDescent="0.3">
      <c r="A15" t="s">
        <v>1883</v>
      </c>
      <c r="B15" t="s">
        <v>152</v>
      </c>
      <c r="C15" t="s">
        <v>1347</v>
      </c>
      <c r="D15">
        <v>2</v>
      </c>
      <c r="E15">
        <v>1</v>
      </c>
      <c r="F15">
        <v>-1</v>
      </c>
      <c r="G15">
        <v>8</v>
      </c>
      <c r="H15">
        <v>7</v>
      </c>
      <c r="I15">
        <v>-1</v>
      </c>
      <c r="J15">
        <v>8</v>
      </c>
      <c r="K15">
        <v>7</v>
      </c>
      <c r="L15" t="s">
        <v>2031</v>
      </c>
      <c r="M15" t="s">
        <v>1988</v>
      </c>
      <c r="N15">
        <v>0</v>
      </c>
      <c r="O15" t="s">
        <v>1985</v>
      </c>
      <c r="P15" t="s">
        <v>1985</v>
      </c>
      <c r="Q15">
        <v>0</v>
      </c>
    </row>
    <row r="16" spans="1:17" x14ac:dyDescent="0.3">
      <c r="A16" t="s">
        <v>1882</v>
      </c>
      <c r="B16" t="s">
        <v>320</v>
      </c>
      <c r="C16" t="s">
        <v>1422</v>
      </c>
      <c r="D16">
        <v>1</v>
      </c>
      <c r="E16">
        <v>0</v>
      </c>
      <c r="F16">
        <v>-1</v>
      </c>
      <c r="G16">
        <v>8</v>
      </c>
      <c r="H16">
        <v>0</v>
      </c>
      <c r="I16">
        <v>-8</v>
      </c>
      <c r="J16">
        <v>8</v>
      </c>
      <c r="K16">
        <v>0</v>
      </c>
      <c r="L16" t="s">
        <v>2030</v>
      </c>
      <c r="N16">
        <v>0</v>
      </c>
      <c r="O16" t="s">
        <v>1922</v>
      </c>
      <c r="Q16">
        <v>0</v>
      </c>
    </row>
    <row r="17" spans="1:17" x14ac:dyDescent="0.3">
      <c r="A17" t="s">
        <v>1881</v>
      </c>
      <c r="B17" t="s">
        <v>358</v>
      </c>
      <c r="C17" t="s">
        <v>1300</v>
      </c>
      <c r="D17">
        <v>1</v>
      </c>
      <c r="E17">
        <v>0</v>
      </c>
      <c r="F17">
        <v>-1</v>
      </c>
      <c r="G17">
        <v>8</v>
      </c>
      <c r="H17">
        <v>0</v>
      </c>
      <c r="I17">
        <v>-8</v>
      </c>
      <c r="J17">
        <v>8</v>
      </c>
      <c r="K17">
        <v>0</v>
      </c>
      <c r="L17" t="s">
        <v>2029</v>
      </c>
      <c r="N17">
        <v>0</v>
      </c>
      <c r="O17" t="s">
        <v>1916</v>
      </c>
      <c r="Q17">
        <v>0</v>
      </c>
    </row>
    <row r="18" spans="1:17" x14ac:dyDescent="0.3">
      <c r="A18" t="s">
        <v>1880</v>
      </c>
      <c r="B18" t="s">
        <v>147</v>
      </c>
      <c r="C18" t="s">
        <v>756</v>
      </c>
      <c r="D18">
        <v>1</v>
      </c>
      <c r="E18">
        <v>1</v>
      </c>
      <c r="F18">
        <v>0</v>
      </c>
      <c r="G18">
        <v>8</v>
      </c>
      <c r="H18">
        <v>8</v>
      </c>
      <c r="I18">
        <v>0</v>
      </c>
      <c r="J18">
        <v>8</v>
      </c>
      <c r="K18">
        <v>8</v>
      </c>
      <c r="L18" t="s">
        <v>2028</v>
      </c>
      <c r="M18" t="s">
        <v>2027</v>
      </c>
      <c r="N18">
        <v>0</v>
      </c>
      <c r="O18" t="s">
        <v>1916</v>
      </c>
      <c r="P18" t="s">
        <v>1916</v>
      </c>
      <c r="Q18">
        <v>0</v>
      </c>
    </row>
    <row r="19" spans="1:17" x14ac:dyDescent="0.3">
      <c r="A19" t="s">
        <v>1879</v>
      </c>
      <c r="B19" t="s">
        <v>248</v>
      </c>
      <c r="C19" t="s">
        <v>1269</v>
      </c>
      <c r="D19">
        <v>1</v>
      </c>
      <c r="E19">
        <v>1</v>
      </c>
      <c r="F19">
        <v>0</v>
      </c>
      <c r="G19">
        <v>7</v>
      </c>
      <c r="H19">
        <v>7</v>
      </c>
      <c r="I19">
        <v>0</v>
      </c>
      <c r="J19">
        <v>7</v>
      </c>
      <c r="K19">
        <v>7</v>
      </c>
      <c r="L19" t="s">
        <v>2026</v>
      </c>
      <c r="M19" t="s">
        <v>2025</v>
      </c>
      <c r="N19">
        <v>0</v>
      </c>
      <c r="O19" t="s">
        <v>1924</v>
      </c>
      <c r="P19" t="s">
        <v>1916</v>
      </c>
      <c r="Q19">
        <v>0</v>
      </c>
    </row>
    <row r="20" spans="1:17" x14ac:dyDescent="0.3">
      <c r="A20" t="s">
        <v>1878</v>
      </c>
      <c r="B20" t="s">
        <v>387</v>
      </c>
      <c r="C20" t="s">
        <v>1140</v>
      </c>
      <c r="D20">
        <v>2</v>
      </c>
      <c r="E20">
        <v>2</v>
      </c>
      <c r="F20">
        <v>0</v>
      </c>
      <c r="G20">
        <v>8</v>
      </c>
      <c r="H20">
        <v>5</v>
      </c>
      <c r="I20">
        <v>-3</v>
      </c>
      <c r="J20">
        <v>8</v>
      </c>
      <c r="K20">
        <v>5</v>
      </c>
      <c r="L20" t="s">
        <v>2024</v>
      </c>
      <c r="M20" t="s">
        <v>2023</v>
      </c>
      <c r="N20">
        <v>0</v>
      </c>
      <c r="O20" t="s">
        <v>2022</v>
      </c>
      <c r="P20" t="s">
        <v>2021</v>
      </c>
      <c r="Q20">
        <v>0</v>
      </c>
    </row>
    <row r="21" spans="1:17" x14ac:dyDescent="0.3">
      <c r="A21" t="s">
        <v>1877</v>
      </c>
      <c r="B21" t="s">
        <v>468</v>
      </c>
      <c r="C21" t="s">
        <v>723</v>
      </c>
      <c r="D21">
        <v>1</v>
      </c>
      <c r="E21">
        <v>1</v>
      </c>
      <c r="F21">
        <v>0</v>
      </c>
      <c r="G21">
        <v>6</v>
      </c>
      <c r="H21">
        <v>6</v>
      </c>
      <c r="I21">
        <v>0</v>
      </c>
      <c r="J21">
        <v>6</v>
      </c>
      <c r="K21">
        <v>6</v>
      </c>
      <c r="L21" t="s">
        <v>2020</v>
      </c>
      <c r="M21" t="s">
        <v>2020</v>
      </c>
      <c r="N21">
        <v>1</v>
      </c>
      <c r="O21" t="s">
        <v>2019</v>
      </c>
      <c r="P21" t="s">
        <v>2018</v>
      </c>
      <c r="Q21">
        <v>1</v>
      </c>
    </row>
    <row r="22" spans="1:17" x14ac:dyDescent="0.3">
      <c r="A22" t="s">
        <v>1876</v>
      </c>
      <c r="B22" t="s">
        <v>93</v>
      </c>
      <c r="C22" t="s">
        <v>1196</v>
      </c>
      <c r="D22">
        <v>1</v>
      </c>
      <c r="E22">
        <v>1</v>
      </c>
      <c r="F22">
        <v>0</v>
      </c>
      <c r="G22">
        <v>8</v>
      </c>
      <c r="H22">
        <v>7</v>
      </c>
      <c r="I22">
        <v>-1</v>
      </c>
      <c r="J22">
        <v>8</v>
      </c>
      <c r="K22">
        <v>7</v>
      </c>
      <c r="L22" t="s">
        <v>2017</v>
      </c>
      <c r="M22" t="s">
        <v>2016</v>
      </c>
      <c r="N22">
        <v>0</v>
      </c>
      <c r="O22" t="s">
        <v>1916</v>
      </c>
      <c r="P22" t="s">
        <v>1916</v>
      </c>
      <c r="Q22">
        <v>0</v>
      </c>
    </row>
    <row r="23" spans="1:17" x14ac:dyDescent="0.3">
      <c r="A23" t="s">
        <v>1875</v>
      </c>
      <c r="B23" t="s">
        <v>112</v>
      </c>
      <c r="C23" t="s">
        <v>964</v>
      </c>
      <c r="D23">
        <v>1</v>
      </c>
      <c r="E23">
        <v>0</v>
      </c>
      <c r="F23">
        <v>-1</v>
      </c>
      <c r="G23">
        <v>9</v>
      </c>
      <c r="H23">
        <v>0</v>
      </c>
      <c r="I23">
        <v>-9</v>
      </c>
      <c r="J23">
        <v>9</v>
      </c>
      <c r="K23">
        <v>0</v>
      </c>
      <c r="L23" t="s">
        <v>2015</v>
      </c>
      <c r="N23">
        <v>0</v>
      </c>
      <c r="O23" t="s">
        <v>1916</v>
      </c>
      <c r="Q23">
        <v>0</v>
      </c>
    </row>
    <row r="24" spans="1:17" x14ac:dyDescent="0.3">
      <c r="A24" t="s">
        <v>1874</v>
      </c>
      <c r="B24" t="s">
        <v>166</v>
      </c>
      <c r="C24" t="s">
        <v>806</v>
      </c>
      <c r="D24">
        <v>1</v>
      </c>
      <c r="E24">
        <v>1</v>
      </c>
      <c r="F24">
        <v>0</v>
      </c>
      <c r="G24">
        <v>8</v>
      </c>
      <c r="H24">
        <v>6</v>
      </c>
      <c r="I24">
        <v>-2</v>
      </c>
      <c r="J24">
        <v>8</v>
      </c>
      <c r="K24">
        <v>6</v>
      </c>
      <c r="L24" t="s">
        <v>2014</v>
      </c>
      <c r="M24" t="s">
        <v>1986</v>
      </c>
      <c r="N24">
        <v>0</v>
      </c>
      <c r="O24" t="s">
        <v>1922</v>
      </c>
      <c r="P24" t="s">
        <v>1916</v>
      </c>
      <c r="Q24">
        <v>0</v>
      </c>
    </row>
    <row r="25" spans="1:17" x14ac:dyDescent="0.3">
      <c r="A25" t="s">
        <v>1873</v>
      </c>
      <c r="B25" t="s">
        <v>171</v>
      </c>
      <c r="C25" t="s">
        <v>1011</v>
      </c>
      <c r="D25">
        <v>1</v>
      </c>
      <c r="E25">
        <v>1</v>
      </c>
      <c r="F25">
        <v>0</v>
      </c>
      <c r="G25">
        <v>8</v>
      </c>
      <c r="H25">
        <v>7</v>
      </c>
      <c r="I25">
        <v>-1</v>
      </c>
      <c r="J25">
        <v>8</v>
      </c>
      <c r="K25">
        <v>7</v>
      </c>
      <c r="L25" t="s">
        <v>1987</v>
      </c>
      <c r="M25" t="s">
        <v>2013</v>
      </c>
      <c r="N25">
        <v>0</v>
      </c>
      <c r="O25" t="s">
        <v>1997</v>
      </c>
      <c r="P25" t="s">
        <v>1997</v>
      </c>
      <c r="Q25">
        <v>0</v>
      </c>
    </row>
    <row r="26" spans="1:17" x14ac:dyDescent="0.3">
      <c r="A26" t="s">
        <v>1872</v>
      </c>
      <c r="B26" t="s">
        <v>102</v>
      </c>
      <c r="C26" t="s">
        <v>1374</v>
      </c>
      <c r="D26">
        <v>2</v>
      </c>
      <c r="E26">
        <v>1</v>
      </c>
      <c r="F26">
        <v>-1</v>
      </c>
      <c r="G26">
        <v>7</v>
      </c>
      <c r="H26">
        <v>5</v>
      </c>
      <c r="I26">
        <v>-2</v>
      </c>
      <c r="J26">
        <v>7</v>
      </c>
      <c r="K26">
        <v>5</v>
      </c>
      <c r="L26" t="s">
        <v>2012</v>
      </c>
      <c r="M26" t="s">
        <v>2011</v>
      </c>
      <c r="N26">
        <v>0.5</v>
      </c>
      <c r="O26" t="s">
        <v>2010</v>
      </c>
      <c r="P26" t="s">
        <v>1931</v>
      </c>
      <c r="Q26">
        <v>0.5</v>
      </c>
    </row>
    <row r="27" spans="1:17" x14ac:dyDescent="0.3">
      <c r="A27" t="s">
        <v>1871</v>
      </c>
      <c r="B27" t="s">
        <v>427</v>
      </c>
      <c r="C27" t="s">
        <v>1016</v>
      </c>
      <c r="D27">
        <v>1</v>
      </c>
      <c r="E27">
        <v>1</v>
      </c>
      <c r="F27">
        <v>0</v>
      </c>
      <c r="G27">
        <v>7</v>
      </c>
      <c r="H27">
        <v>5</v>
      </c>
      <c r="I27">
        <v>-2</v>
      </c>
      <c r="J27">
        <v>7</v>
      </c>
      <c r="K27">
        <v>5</v>
      </c>
      <c r="L27" t="s">
        <v>2009</v>
      </c>
      <c r="M27" t="s">
        <v>2008</v>
      </c>
      <c r="N27">
        <v>0</v>
      </c>
      <c r="O27" t="s">
        <v>1985</v>
      </c>
      <c r="P27" t="s">
        <v>1985</v>
      </c>
      <c r="Q27">
        <v>0</v>
      </c>
    </row>
    <row r="28" spans="1:17" x14ac:dyDescent="0.3">
      <c r="A28" t="s">
        <v>1870</v>
      </c>
      <c r="B28" t="s">
        <v>397</v>
      </c>
      <c r="C28" t="s">
        <v>1118</v>
      </c>
      <c r="D28">
        <v>1</v>
      </c>
      <c r="E28">
        <v>1</v>
      </c>
      <c r="F28">
        <v>0</v>
      </c>
      <c r="G28">
        <v>7</v>
      </c>
      <c r="H28">
        <v>6</v>
      </c>
      <c r="I28">
        <v>-1</v>
      </c>
      <c r="J28">
        <v>7</v>
      </c>
      <c r="K28">
        <v>6</v>
      </c>
      <c r="L28" t="s">
        <v>2007</v>
      </c>
      <c r="M28" t="s">
        <v>2006</v>
      </c>
      <c r="N28">
        <v>0</v>
      </c>
      <c r="O28" t="s">
        <v>1997</v>
      </c>
      <c r="P28" t="s">
        <v>1937</v>
      </c>
      <c r="Q28">
        <v>0</v>
      </c>
    </row>
    <row r="29" spans="1:17" x14ac:dyDescent="0.3">
      <c r="A29" t="s">
        <v>1869</v>
      </c>
      <c r="B29" t="s">
        <v>209</v>
      </c>
      <c r="C29" t="s">
        <v>1314</v>
      </c>
      <c r="D29">
        <v>1</v>
      </c>
      <c r="E29">
        <v>1</v>
      </c>
      <c r="F29">
        <v>0</v>
      </c>
      <c r="G29">
        <v>7</v>
      </c>
      <c r="H29">
        <v>6</v>
      </c>
      <c r="I29">
        <v>-1</v>
      </c>
      <c r="J29">
        <v>7</v>
      </c>
      <c r="K29">
        <v>6</v>
      </c>
      <c r="L29" t="s">
        <v>1987</v>
      </c>
      <c r="M29" t="s">
        <v>2000</v>
      </c>
      <c r="N29">
        <v>0</v>
      </c>
      <c r="O29" t="s">
        <v>1997</v>
      </c>
      <c r="P29" t="s">
        <v>2005</v>
      </c>
      <c r="Q29">
        <v>0</v>
      </c>
    </row>
    <row r="30" spans="1:17" x14ac:dyDescent="0.3">
      <c r="A30" t="s">
        <v>1868</v>
      </c>
      <c r="B30" t="s">
        <v>268</v>
      </c>
      <c r="C30" t="s">
        <v>1402</v>
      </c>
      <c r="D30">
        <v>1</v>
      </c>
      <c r="E30">
        <v>0</v>
      </c>
      <c r="F30">
        <v>-1</v>
      </c>
      <c r="G30">
        <v>5</v>
      </c>
      <c r="H30">
        <v>0</v>
      </c>
      <c r="I30">
        <v>-5</v>
      </c>
      <c r="J30">
        <v>5</v>
      </c>
      <c r="K30">
        <v>0</v>
      </c>
      <c r="L30" t="s">
        <v>2004</v>
      </c>
      <c r="N30">
        <v>0</v>
      </c>
      <c r="O30" t="s">
        <v>1985</v>
      </c>
      <c r="Q30">
        <v>0</v>
      </c>
    </row>
    <row r="31" spans="1:17" x14ac:dyDescent="0.3">
      <c r="A31" t="s">
        <v>1867</v>
      </c>
      <c r="B31" t="s">
        <v>378</v>
      </c>
      <c r="C31" t="s">
        <v>1038</v>
      </c>
      <c r="D31">
        <v>1</v>
      </c>
      <c r="E31">
        <v>1</v>
      </c>
      <c r="F31">
        <v>0</v>
      </c>
      <c r="G31">
        <v>8</v>
      </c>
      <c r="H31">
        <v>8</v>
      </c>
      <c r="I31">
        <v>0</v>
      </c>
      <c r="J31">
        <v>8</v>
      </c>
      <c r="K31">
        <v>8</v>
      </c>
      <c r="L31" t="s">
        <v>1987</v>
      </c>
      <c r="M31" t="s">
        <v>1987</v>
      </c>
      <c r="N31">
        <v>1</v>
      </c>
      <c r="O31" t="s">
        <v>1985</v>
      </c>
      <c r="P31" t="s">
        <v>1922</v>
      </c>
      <c r="Q31">
        <v>1</v>
      </c>
    </row>
    <row r="32" spans="1:17" x14ac:dyDescent="0.3">
      <c r="A32" t="s">
        <v>1866</v>
      </c>
      <c r="B32" t="s">
        <v>41</v>
      </c>
      <c r="C32" t="s">
        <v>1250</v>
      </c>
      <c r="D32">
        <v>2</v>
      </c>
      <c r="E32">
        <v>1</v>
      </c>
      <c r="F32">
        <v>-1</v>
      </c>
      <c r="G32">
        <v>6</v>
      </c>
      <c r="H32">
        <v>6</v>
      </c>
      <c r="I32">
        <v>0</v>
      </c>
      <c r="J32">
        <v>6</v>
      </c>
      <c r="K32">
        <v>6</v>
      </c>
      <c r="L32" t="s">
        <v>2003</v>
      </c>
      <c r="M32" t="s">
        <v>2002</v>
      </c>
      <c r="N32">
        <v>0</v>
      </c>
      <c r="O32" t="s">
        <v>1985</v>
      </c>
      <c r="P32" t="s">
        <v>1985</v>
      </c>
      <c r="Q32">
        <v>0</v>
      </c>
    </row>
    <row r="33" spans="1:17" x14ac:dyDescent="0.3">
      <c r="A33" t="s">
        <v>1865</v>
      </c>
      <c r="B33" t="s">
        <v>186</v>
      </c>
      <c r="C33" t="s">
        <v>986</v>
      </c>
      <c r="D33">
        <v>1</v>
      </c>
      <c r="E33">
        <v>0</v>
      </c>
      <c r="F33">
        <v>-1</v>
      </c>
      <c r="G33">
        <v>6</v>
      </c>
      <c r="H33">
        <v>0</v>
      </c>
      <c r="I33">
        <v>-6</v>
      </c>
      <c r="J33">
        <v>6</v>
      </c>
      <c r="K33">
        <v>0</v>
      </c>
      <c r="L33" t="s">
        <v>2001</v>
      </c>
      <c r="N33">
        <v>0</v>
      </c>
      <c r="O33" t="s">
        <v>1985</v>
      </c>
      <c r="Q33">
        <v>0</v>
      </c>
    </row>
    <row r="34" spans="1:17" x14ac:dyDescent="0.3">
      <c r="A34" t="s">
        <v>1864</v>
      </c>
      <c r="B34" t="s">
        <v>273</v>
      </c>
      <c r="C34" t="s">
        <v>713</v>
      </c>
      <c r="D34">
        <v>1</v>
      </c>
      <c r="E34">
        <v>1</v>
      </c>
      <c r="F34">
        <v>0</v>
      </c>
      <c r="G34">
        <v>7</v>
      </c>
      <c r="H34">
        <v>5</v>
      </c>
      <c r="I34">
        <v>-2</v>
      </c>
      <c r="J34">
        <v>7</v>
      </c>
      <c r="K34">
        <v>5</v>
      </c>
      <c r="L34" t="s">
        <v>2000</v>
      </c>
      <c r="M34" t="s">
        <v>1986</v>
      </c>
      <c r="N34">
        <v>0</v>
      </c>
      <c r="O34" t="s">
        <v>1985</v>
      </c>
      <c r="P34" t="s">
        <v>1916</v>
      </c>
      <c r="Q34">
        <v>0</v>
      </c>
    </row>
    <row r="35" spans="1:17" x14ac:dyDescent="0.3">
      <c r="A35" t="s">
        <v>1863</v>
      </c>
      <c r="B35" t="s">
        <v>243</v>
      </c>
      <c r="C35" t="s">
        <v>1458</v>
      </c>
      <c r="D35">
        <v>1</v>
      </c>
      <c r="E35">
        <v>1</v>
      </c>
      <c r="F35">
        <v>0</v>
      </c>
      <c r="G35">
        <v>10</v>
      </c>
      <c r="H35">
        <v>6</v>
      </c>
      <c r="I35">
        <v>-4</v>
      </c>
      <c r="J35">
        <v>10</v>
      </c>
      <c r="K35">
        <v>6</v>
      </c>
      <c r="L35" t="s">
        <v>1999</v>
      </c>
      <c r="M35" t="s">
        <v>1998</v>
      </c>
      <c r="N35">
        <v>0</v>
      </c>
      <c r="O35" t="s">
        <v>1997</v>
      </c>
      <c r="P35" t="s">
        <v>1957</v>
      </c>
      <c r="Q35">
        <v>0</v>
      </c>
    </row>
    <row r="36" spans="1:17" x14ac:dyDescent="0.3">
      <c r="A36" t="s">
        <v>1862</v>
      </c>
      <c r="B36" t="s">
        <v>214</v>
      </c>
      <c r="C36" t="s">
        <v>990</v>
      </c>
      <c r="D36">
        <v>2</v>
      </c>
      <c r="E36">
        <v>1</v>
      </c>
      <c r="F36">
        <v>-1</v>
      </c>
      <c r="G36">
        <v>9</v>
      </c>
      <c r="H36">
        <v>9</v>
      </c>
      <c r="I36">
        <v>0</v>
      </c>
      <c r="J36">
        <v>9</v>
      </c>
      <c r="K36">
        <v>9</v>
      </c>
      <c r="L36" t="s">
        <v>1996</v>
      </c>
      <c r="M36" t="s">
        <v>1995</v>
      </c>
      <c r="N36">
        <v>0</v>
      </c>
      <c r="O36" t="s">
        <v>1994</v>
      </c>
      <c r="P36" t="s">
        <v>1909</v>
      </c>
      <c r="Q36">
        <v>0</v>
      </c>
    </row>
    <row r="37" spans="1:17" x14ac:dyDescent="0.3">
      <c r="A37" t="s">
        <v>1861</v>
      </c>
      <c r="B37" t="s">
        <v>181</v>
      </c>
      <c r="C37" t="s">
        <v>547</v>
      </c>
      <c r="D37">
        <v>1</v>
      </c>
      <c r="E37">
        <v>0</v>
      </c>
      <c r="F37">
        <v>-1</v>
      </c>
      <c r="G37">
        <v>6</v>
      </c>
      <c r="H37">
        <v>0</v>
      </c>
      <c r="I37">
        <v>-6</v>
      </c>
      <c r="J37">
        <v>6</v>
      </c>
      <c r="K37">
        <v>0</v>
      </c>
      <c r="L37" t="s">
        <v>1993</v>
      </c>
      <c r="N37">
        <v>0</v>
      </c>
      <c r="O37" t="s">
        <v>1992</v>
      </c>
      <c r="Q37">
        <v>0</v>
      </c>
    </row>
    <row r="38" spans="1:17" x14ac:dyDescent="0.3">
      <c r="A38" t="s">
        <v>1860</v>
      </c>
      <c r="B38" t="s">
        <v>17</v>
      </c>
      <c r="C38" t="s">
        <v>1384</v>
      </c>
      <c r="D38">
        <v>1</v>
      </c>
      <c r="E38">
        <v>0</v>
      </c>
      <c r="F38">
        <v>-1</v>
      </c>
      <c r="G38">
        <v>3</v>
      </c>
      <c r="H38">
        <v>0</v>
      </c>
      <c r="I38">
        <v>-3</v>
      </c>
      <c r="J38">
        <v>3</v>
      </c>
      <c r="K38">
        <v>0</v>
      </c>
      <c r="L38" t="s">
        <v>1991</v>
      </c>
      <c r="N38">
        <v>0</v>
      </c>
      <c r="O38" t="s">
        <v>1913</v>
      </c>
      <c r="Q38">
        <v>0</v>
      </c>
    </row>
    <row r="39" spans="1:17" x14ac:dyDescent="0.3">
      <c r="A39" t="s">
        <v>1859</v>
      </c>
      <c r="B39" t="s">
        <v>373</v>
      </c>
      <c r="C39" t="s">
        <v>934</v>
      </c>
      <c r="D39">
        <v>1</v>
      </c>
      <c r="E39">
        <v>1</v>
      </c>
      <c r="F39">
        <v>0</v>
      </c>
      <c r="G39">
        <v>9</v>
      </c>
      <c r="H39">
        <v>4</v>
      </c>
      <c r="I39">
        <v>-5</v>
      </c>
      <c r="J39">
        <v>9</v>
      </c>
      <c r="K39">
        <v>4</v>
      </c>
      <c r="L39" t="s">
        <v>1987</v>
      </c>
      <c r="M39" t="s">
        <v>1990</v>
      </c>
      <c r="N39">
        <v>0</v>
      </c>
      <c r="O39" t="s">
        <v>1985</v>
      </c>
      <c r="P39" t="s">
        <v>1985</v>
      </c>
      <c r="Q39">
        <v>0</v>
      </c>
    </row>
    <row r="40" spans="1:17" x14ac:dyDescent="0.3">
      <c r="A40" t="s">
        <v>1858</v>
      </c>
      <c r="B40" t="s">
        <v>278</v>
      </c>
      <c r="C40" t="s">
        <v>1485</v>
      </c>
      <c r="D40">
        <v>1</v>
      </c>
      <c r="E40">
        <v>1</v>
      </c>
      <c r="F40">
        <v>0</v>
      </c>
      <c r="G40">
        <v>7</v>
      </c>
      <c r="H40">
        <v>5</v>
      </c>
      <c r="I40">
        <v>-2</v>
      </c>
      <c r="J40">
        <v>7</v>
      </c>
      <c r="K40">
        <v>5</v>
      </c>
      <c r="L40" t="s">
        <v>1989</v>
      </c>
      <c r="M40" t="s">
        <v>1988</v>
      </c>
      <c r="N40">
        <v>0</v>
      </c>
      <c r="O40" t="s">
        <v>1985</v>
      </c>
      <c r="P40" t="s">
        <v>1985</v>
      </c>
      <c r="Q40">
        <v>0</v>
      </c>
    </row>
    <row r="41" spans="1:17" x14ac:dyDescent="0.3">
      <c r="A41" t="s">
        <v>1857</v>
      </c>
      <c r="B41" t="s">
        <v>36</v>
      </c>
      <c r="C41" t="s">
        <v>1188</v>
      </c>
      <c r="D41">
        <v>1</v>
      </c>
      <c r="E41">
        <v>0</v>
      </c>
      <c r="F41">
        <v>-1</v>
      </c>
      <c r="G41">
        <v>6</v>
      </c>
      <c r="H41">
        <v>0</v>
      </c>
      <c r="I41">
        <v>-6</v>
      </c>
      <c r="J41">
        <v>6</v>
      </c>
      <c r="K41">
        <v>0</v>
      </c>
      <c r="L41" t="s">
        <v>1986</v>
      </c>
      <c r="N41">
        <v>0</v>
      </c>
      <c r="O41" t="s">
        <v>1916</v>
      </c>
      <c r="Q41">
        <v>0</v>
      </c>
    </row>
    <row r="42" spans="1:17" x14ac:dyDescent="0.3">
      <c r="A42" t="s">
        <v>1856</v>
      </c>
      <c r="B42" t="s">
        <v>529</v>
      </c>
      <c r="C42" t="s">
        <v>864</v>
      </c>
      <c r="D42">
        <v>1</v>
      </c>
      <c r="E42">
        <v>1</v>
      </c>
      <c r="F42">
        <v>0</v>
      </c>
      <c r="G42">
        <v>7</v>
      </c>
      <c r="H42">
        <v>6</v>
      </c>
      <c r="I42">
        <v>-1</v>
      </c>
      <c r="J42">
        <v>7</v>
      </c>
      <c r="K42">
        <v>6</v>
      </c>
      <c r="L42" t="s">
        <v>1987</v>
      </c>
      <c r="M42" t="s">
        <v>1986</v>
      </c>
      <c r="N42">
        <v>0</v>
      </c>
      <c r="O42" t="s">
        <v>1985</v>
      </c>
      <c r="P42" t="s">
        <v>1957</v>
      </c>
      <c r="Q42">
        <v>0</v>
      </c>
    </row>
    <row r="43" spans="1:17" x14ac:dyDescent="0.3">
      <c r="A43" t="s">
        <v>1855</v>
      </c>
      <c r="B43" t="s">
        <v>487</v>
      </c>
      <c r="C43" t="s">
        <v>888</v>
      </c>
      <c r="D43">
        <v>0</v>
      </c>
      <c r="E43">
        <v>0</v>
      </c>
      <c r="F43">
        <v>0</v>
      </c>
      <c r="G43">
        <v>0</v>
      </c>
      <c r="H43">
        <v>0</v>
      </c>
      <c r="I43">
        <v>0</v>
      </c>
      <c r="J43">
        <v>0</v>
      </c>
      <c r="K43">
        <v>0</v>
      </c>
      <c r="N43">
        <v>1</v>
      </c>
      <c r="Q43">
        <v>1</v>
      </c>
    </row>
    <row r="44" spans="1:17" x14ac:dyDescent="0.3">
      <c r="A44" t="s">
        <v>1854</v>
      </c>
      <c r="B44" t="s">
        <v>437</v>
      </c>
      <c r="C44" t="s">
        <v>676</v>
      </c>
      <c r="D44">
        <v>0</v>
      </c>
      <c r="E44">
        <v>0</v>
      </c>
      <c r="F44">
        <v>0</v>
      </c>
      <c r="G44">
        <v>0</v>
      </c>
      <c r="H44">
        <v>0</v>
      </c>
      <c r="I44">
        <v>0</v>
      </c>
      <c r="J44">
        <v>0</v>
      </c>
      <c r="K44">
        <v>0</v>
      </c>
      <c r="N44">
        <v>1</v>
      </c>
      <c r="Q44">
        <v>1</v>
      </c>
    </row>
    <row r="45" spans="1:17" x14ac:dyDescent="0.3">
      <c r="A45" t="s">
        <v>1853</v>
      </c>
      <c r="B45" t="s">
        <v>157</v>
      </c>
      <c r="C45" t="s">
        <v>922</v>
      </c>
      <c r="D45">
        <v>1</v>
      </c>
      <c r="E45">
        <v>0</v>
      </c>
      <c r="F45">
        <v>-1</v>
      </c>
      <c r="G45">
        <v>7</v>
      </c>
      <c r="H45">
        <v>0</v>
      </c>
      <c r="I45">
        <v>-7</v>
      </c>
      <c r="J45">
        <v>7</v>
      </c>
      <c r="K45">
        <v>0</v>
      </c>
      <c r="L45" t="s">
        <v>1984</v>
      </c>
      <c r="N45">
        <v>0</v>
      </c>
      <c r="O45" t="s">
        <v>1983</v>
      </c>
      <c r="Q45">
        <v>0</v>
      </c>
    </row>
    <row r="46" spans="1:17" x14ac:dyDescent="0.3">
      <c r="A46" t="s">
        <v>1852</v>
      </c>
      <c r="B46" t="s">
        <v>315</v>
      </c>
      <c r="C46" t="s">
        <v>1444</v>
      </c>
      <c r="D46">
        <v>1</v>
      </c>
      <c r="E46">
        <v>0</v>
      </c>
      <c r="F46">
        <v>-1</v>
      </c>
      <c r="G46">
        <v>4</v>
      </c>
      <c r="H46">
        <v>0</v>
      </c>
      <c r="I46">
        <v>-4</v>
      </c>
      <c r="J46">
        <v>4</v>
      </c>
      <c r="K46">
        <v>0</v>
      </c>
      <c r="L46" t="s">
        <v>1982</v>
      </c>
      <c r="N46">
        <v>0</v>
      </c>
      <c r="O46" t="s">
        <v>1937</v>
      </c>
      <c r="Q46">
        <v>0</v>
      </c>
    </row>
    <row r="47" spans="1:17" x14ac:dyDescent="0.3">
      <c r="A47" t="s">
        <v>1851</v>
      </c>
      <c r="B47" t="s">
        <v>454</v>
      </c>
      <c r="C47" t="s">
        <v>914</v>
      </c>
      <c r="D47">
        <v>1</v>
      </c>
      <c r="E47">
        <v>0</v>
      </c>
      <c r="F47">
        <v>-1</v>
      </c>
      <c r="G47">
        <v>8</v>
      </c>
      <c r="H47">
        <v>0</v>
      </c>
      <c r="I47">
        <v>-8</v>
      </c>
      <c r="J47">
        <v>8</v>
      </c>
      <c r="K47">
        <v>0</v>
      </c>
      <c r="L47" t="s">
        <v>1981</v>
      </c>
      <c r="N47">
        <v>0</v>
      </c>
      <c r="O47" t="s">
        <v>1916</v>
      </c>
      <c r="Q47">
        <v>0</v>
      </c>
    </row>
    <row r="48" spans="1:17" x14ac:dyDescent="0.3">
      <c r="A48" t="s">
        <v>1850</v>
      </c>
      <c r="B48" t="s">
        <v>441</v>
      </c>
      <c r="C48" t="s">
        <v>1512</v>
      </c>
      <c r="D48">
        <v>1</v>
      </c>
      <c r="E48">
        <v>0</v>
      </c>
      <c r="F48">
        <v>-1</v>
      </c>
      <c r="G48">
        <v>4</v>
      </c>
      <c r="H48">
        <v>0</v>
      </c>
      <c r="I48">
        <v>-4</v>
      </c>
      <c r="J48">
        <v>4</v>
      </c>
      <c r="K48">
        <v>0</v>
      </c>
      <c r="L48" t="s">
        <v>1980</v>
      </c>
      <c r="N48">
        <v>0</v>
      </c>
      <c r="O48" t="s">
        <v>1924</v>
      </c>
      <c r="Q48">
        <v>0</v>
      </c>
    </row>
    <row r="49" spans="1:17" x14ac:dyDescent="0.3">
      <c r="A49" t="s">
        <v>1849</v>
      </c>
      <c r="B49" t="s">
        <v>302</v>
      </c>
      <c r="C49" t="s">
        <v>815</v>
      </c>
      <c r="D49">
        <v>0</v>
      </c>
      <c r="E49">
        <v>0</v>
      </c>
      <c r="F49">
        <v>0</v>
      </c>
      <c r="G49">
        <v>0</v>
      </c>
      <c r="H49">
        <v>0</v>
      </c>
      <c r="I49">
        <v>0</v>
      </c>
      <c r="J49">
        <v>0</v>
      </c>
      <c r="K49">
        <v>0</v>
      </c>
      <c r="N49">
        <v>1</v>
      </c>
      <c r="Q49">
        <v>1</v>
      </c>
    </row>
    <row r="50" spans="1:17" x14ac:dyDescent="0.3">
      <c r="A50" t="s">
        <v>1848</v>
      </c>
      <c r="B50" t="s">
        <v>525</v>
      </c>
      <c r="C50" t="s">
        <v>1414</v>
      </c>
      <c r="D50">
        <v>0</v>
      </c>
      <c r="E50">
        <v>0</v>
      </c>
      <c r="F50">
        <v>0</v>
      </c>
      <c r="G50">
        <v>0</v>
      </c>
      <c r="H50">
        <v>0</v>
      </c>
      <c r="I50">
        <v>0</v>
      </c>
      <c r="J50">
        <v>0</v>
      </c>
      <c r="K50">
        <v>0</v>
      </c>
      <c r="N50">
        <v>1</v>
      </c>
      <c r="Q50">
        <v>1</v>
      </c>
    </row>
    <row r="51" spans="1:17" x14ac:dyDescent="0.3">
      <c r="A51" t="s">
        <v>1847</v>
      </c>
      <c r="B51" t="s">
        <v>353</v>
      </c>
      <c r="C51" t="s">
        <v>728</v>
      </c>
      <c r="D51">
        <v>1</v>
      </c>
      <c r="E51">
        <v>1</v>
      </c>
      <c r="F51">
        <v>0</v>
      </c>
      <c r="G51">
        <v>4</v>
      </c>
      <c r="H51">
        <v>6</v>
      </c>
      <c r="I51">
        <v>2</v>
      </c>
      <c r="J51">
        <v>4</v>
      </c>
      <c r="K51">
        <v>6</v>
      </c>
      <c r="L51" t="s">
        <v>1979</v>
      </c>
      <c r="M51" t="s">
        <v>1978</v>
      </c>
      <c r="N51">
        <v>0</v>
      </c>
      <c r="O51" t="s">
        <v>1924</v>
      </c>
      <c r="P51" t="s">
        <v>1924</v>
      </c>
      <c r="Q51">
        <v>0</v>
      </c>
    </row>
    <row r="52" spans="1:17" x14ac:dyDescent="0.3">
      <c r="A52" t="s">
        <v>1846</v>
      </c>
      <c r="B52" t="s">
        <v>446</v>
      </c>
      <c r="C52" t="s">
        <v>543</v>
      </c>
      <c r="D52">
        <v>0</v>
      </c>
      <c r="E52">
        <v>0</v>
      </c>
      <c r="F52">
        <v>0</v>
      </c>
      <c r="G52">
        <v>0</v>
      </c>
      <c r="H52">
        <v>0</v>
      </c>
      <c r="I52">
        <v>0</v>
      </c>
      <c r="J52">
        <v>0</v>
      </c>
      <c r="K52">
        <v>0</v>
      </c>
      <c r="N52">
        <v>1</v>
      </c>
      <c r="Q52">
        <v>1</v>
      </c>
    </row>
    <row r="53" spans="1:17" x14ac:dyDescent="0.3">
      <c r="A53" t="s">
        <v>1845</v>
      </c>
      <c r="B53" t="s">
        <v>253</v>
      </c>
      <c r="C53" t="s">
        <v>1034</v>
      </c>
      <c r="D53">
        <v>1</v>
      </c>
      <c r="E53">
        <v>0</v>
      </c>
      <c r="F53">
        <v>-1</v>
      </c>
      <c r="G53">
        <v>8</v>
      </c>
      <c r="H53">
        <v>0</v>
      </c>
      <c r="I53">
        <v>-8</v>
      </c>
      <c r="J53">
        <v>8</v>
      </c>
      <c r="K53">
        <v>0</v>
      </c>
      <c r="L53" t="s">
        <v>1977</v>
      </c>
      <c r="N53">
        <v>0</v>
      </c>
      <c r="O53" t="s">
        <v>1913</v>
      </c>
      <c r="Q53">
        <v>0</v>
      </c>
    </row>
    <row r="54" spans="1:17" x14ac:dyDescent="0.3">
      <c r="A54" t="s">
        <v>1844</v>
      </c>
      <c r="B54" t="s">
        <v>238</v>
      </c>
      <c r="C54" t="s">
        <v>1365</v>
      </c>
      <c r="D54">
        <v>1</v>
      </c>
      <c r="E54">
        <v>1</v>
      </c>
      <c r="F54">
        <v>0</v>
      </c>
      <c r="G54">
        <v>7</v>
      </c>
      <c r="H54">
        <v>8</v>
      </c>
      <c r="I54">
        <v>1</v>
      </c>
      <c r="J54">
        <v>7</v>
      </c>
      <c r="K54">
        <v>8</v>
      </c>
      <c r="L54" t="s">
        <v>1959</v>
      </c>
      <c r="M54" t="s">
        <v>1959</v>
      </c>
      <c r="N54">
        <v>1</v>
      </c>
      <c r="O54" t="s">
        <v>1913</v>
      </c>
      <c r="P54" t="s">
        <v>1913</v>
      </c>
      <c r="Q54">
        <v>1</v>
      </c>
    </row>
    <row r="55" spans="1:17" x14ac:dyDescent="0.3">
      <c r="A55" t="s">
        <v>1843</v>
      </c>
      <c r="B55" t="s">
        <v>127</v>
      </c>
      <c r="C55" t="s">
        <v>811</v>
      </c>
      <c r="D55">
        <v>1</v>
      </c>
      <c r="E55">
        <v>0</v>
      </c>
      <c r="F55">
        <v>-1</v>
      </c>
      <c r="G55">
        <v>6</v>
      </c>
      <c r="H55">
        <v>0</v>
      </c>
      <c r="I55">
        <v>-6</v>
      </c>
      <c r="J55">
        <v>6</v>
      </c>
      <c r="K55">
        <v>0</v>
      </c>
      <c r="L55" t="s">
        <v>1976</v>
      </c>
      <c r="N55">
        <v>0</v>
      </c>
      <c r="O55" t="s">
        <v>1924</v>
      </c>
      <c r="Q55">
        <v>0</v>
      </c>
    </row>
    <row r="56" spans="1:17" x14ac:dyDescent="0.3">
      <c r="A56" t="s">
        <v>1842</v>
      </c>
      <c r="B56" t="s">
        <v>288</v>
      </c>
      <c r="C56" t="s">
        <v>574</v>
      </c>
      <c r="D56">
        <v>3</v>
      </c>
      <c r="E56">
        <v>1</v>
      </c>
      <c r="F56">
        <v>-2</v>
      </c>
      <c r="G56">
        <v>7</v>
      </c>
      <c r="H56">
        <v>4</v>
      </c>
      <c r="I56">
        <v>-3</v>
      </c>
      <c r="J56">
        <v>8</v>
      </c>
      <c r="K56">
        <v>4</v>
      </c>
      <c r="L56" t="s">
        <v>1975</v>
      </c>
      <c r="M56" t="s">
        <v>1974</v>
      </c>
      <c r="N56">
        <v>0</v>
      </c>
      <c r="O56" t="s">
        <v>1973</v>
      </c>
      <c r="P56" t="s">
        <v>1924</v>
      </c>
      <c r="Q56">
        <v>0</v>
      </c>
    </row>
    <row r="57" spans="1:17" x14ac:dyDescent="0.3">
      <c r="A57" t="s">
        <v>1841</v>
      </c>
      <c r="B57" t="s">
        <v>233</v>
      </c>
      <c r="C57" t="s">
        <v>1264</v>
      </c>
      <c r="D57">
        <v>2</v>
      </c>
      <c r="E57">
        <v>1</v>
      </c>
      <c r="F57">
        <v>-1</v>
      </c>
      <c r="G57">
        <v>5</v>
      </c>
      <c r="H57">
        <v>4</v>
      </c>
      <c r="I57">
        <v>-1</v>
      </c>
      <c r="J57">
        <v>5</v>
      </c>
      <c r="K57">
        <v>4</v>
      </c>
      <c r="L57" t="s">
        <v>1972</v>
      </c>
      <c r="M57" t="s">
        <v>1968</v>
      </c>
      <c r="N57">
        <v>0</v>
      </c>
      <c r="O57" t="s">
        <v>1924</v>
      </c>
      <c r="P57" t="s">
        <v>1924</v>
      </c>
      <c r="Q57">
        <v>0</v>
      </c>
    </row>
    <row r="58" spans="1:17" x14ac:dyDescent="0.3">
      <c r="A58" t="s">
        <v>1840</v>
      </c>
      <c r="B58" t="s">
        <v>27</v>
      </c>
      <c r="C58" t="s">
        <v>684</v>
      </c>
      <c r="D58">
        <v>0</v>
      </c>
      <c r="E58">
        <v>0</v>
      </c>
      <c r="F58">
        <v>0</v>
      </c>
      <c r="G58">
        <v>0</v>
      </c>
      <c r="H58">
        <v>0</v>
      </c>
      <c r="I58">
        <v>0</v>
      </c>
      <c r="J58">
        <v>0</v>
      </c>
      <c r="K58">
        <v>0</v>
      </c>
      <c r="N58">
        <v>1</v>
      </c>
      <c r="Q58">
        <v>1</v>
      </c>
    </row>
    <row r="59" spans="1:17" x14ac:dyDescent="0.3">
      <c r="A59" t="s">
        <v>1839</v>
      </c>
      <c r="B59" t="s">
        <v>263</v>
      </c>
      <c r="C59" t="s">
        <v>896</v>
      </c>
      <c r="D59">
        <v>1</v>
      </c>
      <c r="E59">
        <v>0</v>
      </c>
      <c r="F59">
        <v>-1</v>
      </c>
      <c r="G59">
        <v>5</v>
      </c>
      <c r="H59">
        <v>0</v>
      </c>
      <c r="I59">
        <v>-5</v>
      </c>
      <c r="J59">
        <v>5</v>
      </c>
      <c r="K59">
        <v>0</v>
      </c>
      <c r="L59" t="s">
        <v>1971</v>
      </c>
      <c r="N59">
        <v>0</v>
      </c>
      <c r="O59" t="s">
        <v>1924</v>
      </c>
      <c r="Q59">
        <v>0</v>
      </c>
    </row>
    <row r="60" spans="1:17" x14ac:dyDescent="0.3">
      <c r="A60" t="s">
        <v>1838</v>
      </c>
      <c r="B60" t="s">
        <v>506</v>
      </c>
      <c r="C60" t="s">
        <v>663</v>
      </c>
      <c r="D60">
        <v>1</v>
      </c>
      <c r="E60">
        <v>1</v>
      </c>
      <c r="F60">
        <v>0</v>
      </c>
      <c r="G60">
        <v>5</v>
      </c>
      <c r="H60">
        <v>4</v>
      </c>
      <c r="I60">
        <v>-1</v>
      </c>
      <c r="J60">
        <v>5</v>
      </c>
      <c r="K60">
        <v>4</v>
      </c>
      <c r="L60" t="s">
        <v>1970</v>
      </c>
      <c r="M60" t="s">
        <v>1969</v>
      </c>
      <c r="N60">
        <v>0</v>
      </c>
      <c r="O60" t="s">
        <v>1924</v>
      </c>
      <c r="P60" t="s">
        <v>1924</v>
      </c>
      <c r="Q60">
        <v>0</v>
      </c>
    </row>
    <row r="61" spans="1:17" x14ac:dyDescent="0.3">
      <c r="A61" t="s">
        <v>1837</v>
      </c>
      <c r="B61" t="s">
        <v>496</v>
      </c>
      <c r="C61" t="s">
        <v>1319</v>
      </c>
      <c r="D61">
        <v>1</v>
      </c>
      <c r="E61">
        <v>0</v>
      </c>
      <c r="F61">
        <v>-1</v>
      </c>
      <c r="G61">
        <v>4</v>
      </c>
      <c r="H61">
        <v>0</v>
      </c>
      <c r="I61">
        <v>-4</v>
      </c>
      <c r="J61">
        <v>4</v>
      </c>
      <c r="K61">
        <v>0</v>
      </c>
      <c r="L61" t="s">
        <v>1968</v>
      </c>
      <c r="N61">
        <v>0</v>
      </c>
      <c r="O61" t="s">
        <v>1924</v>
      </c>
      <c r="Q61">
        <v>0</v>
      </c>
    </row>
    <row r="62" spans="1:17" x14ac:dyDescent="0.3">
      <c r="A62" t="s">
        <v>1836</v>
      </c>
      <c r="B62" t="s">
        <v>310</v>
      </c>
      <c r="C62" t="s">
        <v>943</v>
      </c>
      <c r="D62">
        <v>1</v>
      </c>
      <c r="E62">
        <v>0</v>
      </c>
      <c r="F62">
        <v>-1</v>
      </c>
      <c r="G62">
        <v>6</v>
      </c>
      <c r="H62">
        <v>0</v>
      </c>
      <c r="I62">
        <v>-6</v>
      </c>
      <c r="J62">
        <v>6</v>
      </c>
      <c r="K62">
        <v>0</v>
      </c>
      <c r="L62" t="s">
        <v>1967</v>
      </c>
      <c r="N62">
        <v>0</v>
      </c>
      <c r="O62" t="s">
        <v>1916</v>
      </c>
      <c r="Q62">
        <v>0</v>
      </c>
    </row>
    <row r="63" spans="1:17" x14ac:dyDescent="0.3">
      <c r="A63" t="s">
        <v>1835</v>
      </c>
      <c r="B63" t="s">
        <v>117</v>
      </c>
      <c r="C63" t="s">
        <v>569</v>
      </c>
      <c r="D63">
        <v>1</v>
      </c>
      <c r="E63">
        <v>1</v>
      </c>
      <c r="F63">
        <v>0</v>
      </c>
      <c r="G63">
        <v>5</v>
      </c>
      <c r="H63">
        <v>4</v>
      </c>
      <c r="I63">
        <v>-1</v>
      </c>
      <c r="J63">
        <v>5</v>
      </c>
      <c r="K63">
        <v>4</v>
      </c>
      <c r="L63" t="s">
        <v>1966</v>
      </c>
      <c r="M63" t="s">
        <v>1965</v>
      </c>
      <c r="N63">
        <v>0</v>
      </c>
      <c r="O63" t="s">
        <v>1924</v>
      </c>
      <c r="P63" t="s">
        <v>1924</v>
      </c>
      <c r="Q63">
        <v>0</v>
      </c>
    </row>
    <row r="64" spans="1:17" x14ac:dyDescent="0.3">
      <c r="A64" t="s">
        <v>1834</v>
      </c>
      <c r="B64" t="s">
        <v>78</v>
      </c>
      <c r="C64" t="s">
        <v>579</v>
      </c>
      <c r="D64">
        <v>2</v>
      </c>
      <c r="E64">
        <v>1</v>
      </c>
      <c r="F64">
        <v>-1</v>
      </c>
      <c r="G64">
        <v>6</v>
      </c>
      <c r="H64">
        <v>6</v>
      </c>
      <c r="I64">
        <v>0</v>
      </c>
      <c r="J64">
        <v>6</v>
      </c>
      <c r="K64">
        <v>6</v>
      </c>
      <c r="L64" t="s">
        <v>1964</v>
      </c>
      <c r="M64" t="s">
        <v>1963</v>
      </c>
      <c r="N64">
        <v>0</v>
      </c>
      <c r="O64" t="s">
        <v>1962</v>
      </c>
      <c r="P64" t="s">
        <v>1962</v>
      </c>
      <c r="Q64">
        <v>0</v>
      </c>
    </row>
    <row r="65" spans="1:17" x14ac:dyDescent="0.3">
      <c r="A65" t="s">
        <v>1833</v>
      </c>
      <c r="B65" t="s">
        <v>12</v>
      </c>
      <c r="C65" t="s">
        <v>688</v>
      </c>
      <c r="D65">
        <v>1</v>
      </c>
      <c r="E65">
        <v>1</v>
      </c>
      <c r="F65">
        <v>0</v>
      </c>
      <c r="G65">
        <v>7</v>
      </c>
      <c r="H65">
        <v>7</v>
      </c>
      <c r="I65">
        <v>0</v>
      </c>
      <c r="J65">
        <v>7</v>
      </c>
      <c r="K65">
        <v>7</v>
      </c>
      <c r="L65" t="s">
        <v>1961</v>
      </c>
      <c r="M65" t="s">
        <v>1960</v>
      </c>
      <c r="N65">
        <v>0</v>
      </c>
      <c r="O65" t="s">
        <v>1916</v>
      </c>
      <c r="P65" t="s">
        <v>1950</v>
      </c>
      <c r="Q65">
        <v>0</v>
      </c>
    </row>
    <row r="66" spans="1:17" x14ac:dyDescent="0.3">
      <c r="A66" t="s">
        <v>1832</v>
      </c>
      <c r="B66" t="s">
        <v>69</v>
      </c>
      <c r="C66" t="s">
        <v>788</v>
      </c>
      <c r="D66">
        <v>1</v>
      </c>
      <c r="E66">
        <v>1</v>
      </c>
      <c r="F66">
        <v>0</v>
      </c>
      <c r="G66">
        <v>8</v>
      </c>
      <c r="H66">
        <v>7</v>
      </c>
      <c r="I66">
        <v>-1</v>
      </c>
      <c r="J66">
        <v>8</v>
      </c>
      <c r="K66">
        <v>7</v>
      </c>
      <c r="L66" t="s">
        <v>1959</v>
      </c>
      <c r="M66" t="s">
        <v>1933</v>
      </c>
      <c r="N66">
        <v>0</v>
      </c>
      <c r="O66" t="s">
        <v>1950</v>
      </c>
      <c r="P66" t="s">
        <v>1950</v>
      </c>
      <c r="Q66">
        <v>0</v>
      </c>
    </row>
    <row r="67" spans="1:17" x14ac:dyDescent="0.3">
      <c r="A67" t="s">
        <v>1831</v>
      </c>
      <c r="B67" t="s">
        <v>392</v>
      </c>
      <c r="C67" t="s">
        <v>874</v>
      </c>
      <c r="D67">
        <v>1</v>
      </c>
      <c r="E67">
        <v>0</v>
      </c>
      <c r="F67">
        <v>-1</v>
      </c>
      <c r="G67">
        <v>5</v>
      </c>
      <c r="H67">
        <v>0</v>
      </c>
      <c r="I67">
        <v>-5</v>
      </c>
      <c r="J67">
        <v>5</v>
      </c>
      <c r="K67">
        <v>0</v>
      </c>
      <c r="L67" t="s">
        <v>1917</v>
      </c>
      <c r="N67">
        <v>0</v>
      </c>
      <c r="O67" t="s">
        <v>1916</v>
      </c>
      <c r="Q67">
        <v>0</v>
      </c>
    </row>
    <row r="68" spans="1:17" x14ac:dyDescent="0.3">
      <c r="A68" t="s">
        <v>1830</v>
      </c>
      <c r="B68" t="s">
        <v>258</v>
      </c>
      <c r="C68" t="s">
        <v>623</v>
      </c>
      <c r="D68">
        <v>1</v>
      </c>
      <c r="E68">
        <v>1</v>
      </c>
      <c r="F68">
        <v>0</v>
      </c>
      <c r="G68">
        <v>4</v>
      </c>
      <c r="H68">
        <v>5</v>
      </c>
      <c r="I68">
        <v>1</v>
      </c>
      <c r="J68">
        <v>4</v>
      </c>
      <c r="K68">
        <v>5</v>
      </c>
      <c r="L68" t="s">
        <v>1958</v>
      </c>
      <c r="M68" t="s">
        <v>1917</v>
      </c>
      <c r="N68">
        <v>0</v>
      </c>
      <c r="O68" t="s">
        <v>1916</v>
      </c>
      <c r="P68" t="s">
        <v>1957</v>
      </c>
      <c r="Q68">
        <v>0</v>
      </c>
    </row>
    <row r="69" spans="1:17" x14ac:dyDescent="0.3">
      <c r="A69" t="s">
        <v>1829</v>
      </c>
      <c r="B69" t="s">
        <v>383</v>
      </c>
      <c r="C69" t="s">
        <v>900</v>
      </c>
      <c r="D69">
        <v>0</v>
      </c>
      <c r="E69">
        <v>0</v>
      </c>
      <c r="F69">
        <v>0</v>
      </c>
      <c r="G69">
        <v>0</v>
      </c>
      <c r="H69">
        <v>0</v>
      </c>
      <c r="I69">
        <v>0</v>
      </c>
      <c r="J69">
        <v>0</v>
      </c>
      <c r="K69">
        <v>0</v>
      </c>
      <c r="N69">
        <v>1</v>
      </c>
      <c r="Q69">
        <v>1</v>
      </c>
    </row>
    <row r="70" spans="1:17" x14ac:dyDescent="0.3">
      <c r="A70" t="s">
        <v>1828</v>
      </c>
      <c r="B70" t="s">
        <v>88</v>
      </c>
      <c r="C70" t="s">
        <v>672</v>
      </c>
      <c r="D70">
        <v>2</v>
      </c>
      <c r="E70">
        <v>0</v>
      </c>
      <c r="F70">
        <v>-2</v>
      </c>
      <c r="G70">
        <v>5</v>
      </c>
      <c r="H70">
        <v>0</v>
      </c>
      <c r="I70">
        <v>-5</v>
      </c>
      <c r="J70">
        <v>5</v>
      </c>
      <c r="K70">
        <v>0</v>
      </c>
      <c r="L70" t="s">
        <v>1956</v>
      </c>
      <c r="N70">
        <v>0</v>
      </c>
      <c r="O70" t="s">
        <v>1913</v>
      </c>
      <c r="Q70">
        <v>0</v>
      </c>
    </row>
    <row r="71" spans="1:17" x14ac:dyDescent="0.3">
      <c r="A71" t="s">
        <v>1827</v>
      </c>
      <c r="B71" t="s">
        <v>450</v>
      </c>
      <c r="C71" t="s">
        <v>952</v>
      </c>
      <c r="D71">
        <v>0</v>
      </c>
      <c r="E71">
        <v>0</v>
      </c>
      <c r="F71">
        <v>0</v>
      </c>
      <c r="G71">
        <v>0</v>
      </c>
      <c r="H71">
        <v>0</v>
      </c>
      <c r="I71">
        <v>0</v>
      </c>
      <c r="J71">
        <v>0</v>
      </c>
      <c r="K71">
        <v>0</v>
      </c>
      <c r="N71">
        <v>1</v>
      </c>
      <c r="Q71">
        <v>1</v>
      </c>
    </row>
    <row r="72" spans="1:17" x14ac:dyDescent="0.3">
      <c r="A72" t="s">
        <v>1826</v>
      </c>
      <c r="B72" t="s">
        <v>51</v>
      </c>
      <c r="C72" t="s">
        <v>1435</v>
      </c>
      <c r="D72">
        <v>0</v>
      </c>
      <c r="E72">
        <v>0</v>
      </c>
      <c r="F72">
        <v>0</v>
      </c>
      <c r="G72">
        <v>0</v>
      </c>
      <c r="H72">
        <v>0</v>
      </c>
      <c r="I72">
        <v>0</v>
      </c>
      <c r="J72">
        <v>0</v>
      </c>
      <c r="K72">
        <v>0</v>
      </c>
      <c r="N72">
        <v>1</v>
      </c>
      <c r="Q72">
        <v>1</v>
      </c>
    </row>
    <row r="73" spans="1:17" x14ac:dyDescent="0.3">
      <c r="A73" t="s">
        <v>1825</v>
      </c>
      <c r="B73" t="s">
        <v>46</v>
      </c>
      <c r="C73" t="s">
        <v>1393</v>
      </c>
      <c r="D73">
        <v>1</v>
      </c>
      <c r="E73">
        <v>0</v>
      </c>
      <c r="F73">
        <v>-1</v>
      </c>
      <c r="G73">
        <v>3</v>
      </c>
      <c r="H73">
        <v>0</v>
      </c>
      <c r="I73">
        <v>-3</v>
      </c>
      <c r="J73">
        <v>3</v>
      </c>
      <c r="K73">
        <v>0</v>
      </c>
      <c r="L73" t="s">
        <v>1955</v>
      </c>
      <c r="N73">
        <v>0</v>
      </c>
      <c r="O73" t="s">
        <v>1954</v>
      </c>
      <c r="Q73">
        <v>0</v>
      </c>
    </row>
    <row r="74" spans="1:17" x14ac:dyDescent="0.3">
      <c r="A74" t="s">
        <v>1824</v>
      </c>
      <c r="B74" t="s">
        <v>195</v>
      </c>
      <c r="C74" t="s">
        <v>1150</v>
      </c>
      <c r="D74">
        <v>0</v>
      </c>
      <c r="E74">
        <v>0</v>
      </c>
      <c r="F74">
        <v>0</v>
      </c>
      <c r="G74">
        <v>0</v>
      </c>
      <c r="H74">
        <v>0</v>
      </c>
      <c r="I74">
        <v>0</v>
      </c>
      <c r="J74">
        <v>0</v>
      </c>
      <c r="K74">
        <v>0</v>
      </c>
      <c r="N74">
        <v>1</v>
      </c>
      <c r="Q74">
        <v>1</v>
      </c>
    </row>
    <row r="75" spans="1:17" x14ac:dyDescent="0.3">
      <c r="A75" t="s">
        <v>1823</v>
      </c>
      <c r="B75" t="s">
        <v>107</v>
      </c>
      <c r="C75" t="s">
        <v>1100</v>
      </c>
      <c r="D75">
        <v>1</v>
      </c>
      <c r="E75">
        <v>0</v>
      </c>
      <c r="F75">
        <v>-1</v>
      </c>
      <c r="G75">
        <v>5</v>
      </c>
      <c r="H75">
        <v>0</v>
      </c>
      <c r="I75">
        <v>-5</v>
      </c>
      <c r="J75">
        <v>5</v>
      </c>
      <c r="K75">
        <v>0</v>
      </c>
      <c r="L75" t="s">
        <v>1955</v>
      </c>
      <c r="N75">
        <v>0</v>
      </c>
      <c r="O75" t="s">
        <v>1954</v>
      </c>
      <c r="Q75">
        <v>0</v>
      </c>
    </row>
    <row r="76" spans="1:17" x14ac:dyDescent="0.3">
      <c r="A76" t="s">
        <v>1822</v>
      </c>
      <c r="B76" t="s">
        <v>162</v>
      </c>
      <c r="C76" t="s">
        <v>1481</v>
      </c>
      <c r="D76">
        <v>0</v>
      </c>
      <c r="E76">
        <v>0</v>
      </c>
      <c r="F76">
        <v>0</v>
      </c>
      <c r="G76">
        <v>0</v>
      </c>
      <c r="H76">
        <v>0</v>
      </c>
      <c r="I76">
        <v>0</v>
      </c>
      <c r="J76">
        <v>0</v>
      </c>
      <c r="K76">
        <v>0</v>
      </c>
      <c r="N76">
        <v>1</v>
      </c>
      <c r="Q76">
        <v>1</v>
      </c>
    </row>
    <row r="77" spans="1:17" x14ac:dyDescent="0.3">
      <c r="A77" t="s">
        <v>1821</v>
      </c>
      <c r="B77" t="s">
        <v>224</v>
      </c>
      <c r="C77" t="s">
        <v>1127</v>
      </c>
      <c r="D77">
        <v>1</v>
      </c>
      <c r="E77">
        <v>0</v>
      </c>
      <c r="F77">
        <v>-1</v>
      </c>
      <c r="G77">
        <v>4</v>
      </c>
      <c r="H77">
        <v>0</v>
      </c>
      <c r="I77">
        <v>-4</v>
      </c>
      <c r="J77">
        <v>4</v>
      </c>
      <c r="K77">
        <v>0</v>
      </c>
      <c r="L77" t="s">
        <v>1953</v>
      </c>
      <c r="N77">
        <v>0</v>
      </c>
      <c r="O77" t="s">
        <v>1924</v>
      </c>
      <c r="Q77">
        <v>0</v>
      </c>
    </row>
    <row r="78" spans="1:17" x14ac:dyDescent="0.3">
      <c r="A78" t="s">
        <v>1820</v>
      </c>
      <c r="B78" t="s">
        <v>22</v>
      </c>
      <c r="C78" t="s">
        <v>1237</v>
      </c>
      <c r="D78">
        <v>0</v>
      </c>
      <c r="E78">
        <v>0</v>
      </c>
      <c r="F78">
        <v>0</v>
      </c>
      <c r="G78">
        <v>0</v>
      </c>
      <c r="H78">
        <v>0</v>
      </c>
      <c r="I78">
        <v>0</v>
      </c>
      <c r="J78">
        <v>0</v>
      </c>
      <c r="K78">
        <v>0</v>
      </c>
      <c r="N78">
        <v>1</v>
      </c>
      <c r="Q78">
        <v>1</v>
      </c>
    </row>
    <row r="79" spans="1:17" x14ac:dyDescent="0.3">
      <c r="A79" t="s">
        <v>1819</v>
      </c>
      <c r="B79" t="s">
        <v>142</v>
      </c>
      <c r="C79" t="s">
        <v>775</v>
      </c>
      <c r="D79">
        <v>1</v>
      </c>
      <c r="E79">
        <v>1</v>
      </c>
      <c r="F79">
        <v>0</v>
      </c>
      <c r="G79">
        <v>9</v>
      </c>
      <c r="H79">
        <v>7</v>
      </c>
      <c r="I79">
        <v>-2</v>
      </c>
      <c r="J79">
        <v>9</v>
      </c>
      <c r="K79">
        <v>7</v>
      </c>
      <c r="L79" t="s">
        <v>1952</v>
      </c>
      <c r="M79" t="s">
        <v>1951</v>
      </c>
      <c r="N79">
        <v>0</v>
      </c>
      <c r="O79" t="s">
        <v>1950</v>
      </c>
      <c r="P79" t="s">
        <v>1937</v>
      </c>
      <c r="Q79">
        <v>0</v>
      </c>
    </row>
    <row r="80" spans="1:17" x14ac:dyDescent="0.3">
      <c r="A80" t="s">
        <v>1818</v>
      </c>
      <c r="B80" t="s">
        <v>176</v>
      </c>
      <c r="C80" t="s">
        <v>1066</v>
      </c>
      <c r="D80">
        <v>1</v>
      </c>
      <c r="E80">
        <v>1</v>
      </c>
      <c r="F80">
        <v>0</v>
      </c>
      <c r="G80">
        <v>9</v>
      </c>
      <c r="H80">
        <v>6</v>
      </c>
      <c r="I80">
        <v>-3</v>
      </c>
      <c r="J80">
        <v>9</v>
      </c>
      <c r="K80">
        <v>6</v>
      </c>
      <c r="L80" t="s">
        <v>1949</v>
      </c>
      <c r="M80" t="s">
        <v>1948</v>
      </c>
      <c r="N80">
        <v>0</v>
      </c>
      <c r="O80" t="s">
        <v>1932</v>
      </c>
      <c r="P80" t="s">
        <v>1937</v>
      </c>
      <c r="Q80">
        <v>0</v>
      </c>
    </row>
    <row r="81" spans="1:17" x14ac:dyDescent="0.3">
      <c r="A81" t="s">
        <v>1817</v>
      </c>
      <c r="B81" t="s">
        <v>501</v>
      </c>
      <c r="C81" t="s">
        <v>851</v>
      </c>
      <c r="D81">
        <v>1</v>
      </c>
      <c r="E81">
        <v>0</v>
      </c>
      <c r="F81">
        <v>-1</v>
      </c>
      <c r="G81">
        <v>7</v>
      </c>
      <c r="H81">
        <v>0</v>
      </c>
      <c r="I81">
        <v>-7</v>
      </c>
      <c r="J81">
        <v>7</v>
      </c>
      <c r="K81">
        <v>0</v>
      </c>
      <c r="L81" t="s">
        <v>1947</v>
      </c>
      <c r="N81">
        <v>0</v>
      </c>
      <c r="O81" t="s">
        <v>1937</v>
      </c>
      <c r="Q81">
        <v>0</v>
      </c>
    </row>
    <row r="82" spans="1:17" x14ac:dyDescent="0.3">
      <c r="A82" t="s">
        <v>1816</v>
      </c>
      <c r="B82" t="s">
        <v>521</v>
      </c>
      <c r="C82" t="s">
        <v>1499</v>
      </c>
      <c r="D82">
        <v>0</v>
      </c>
      <c r="E82">
        <v>0</v>
      </c>
      <c r="F82">
        <v>0</v>
      </c>
      <c r="G82">
        <v>0</v>
      </c>
      <c r="H82">
        <v>0</v>
      </c>
      <c r="I82">
        <v>0</v>
      </c>
      <c r="J82">
        <v>0</v>
      </c>
      <c r="K82">
        <v>0</v>
      </c>
      <c r="N82">
        <v>1</v>
      </c>
      <c r="Q82">
        <v>1</v>
      </c>
    </row>
    <row r="83" spans="1:17" x14ac:dyDescent="0.3">
      <c r="A83" t="s">
        <v>1815</v>
      </c>
      <c r="B83" t="s">
        <v>325</v>
      </c>
      <c r="C83" t="s">
        <v>930</v>
      </c>
      <c r="D83">
        <v>0</v>
      </c>
      <c r="E83">
        <v>0</v>
      </c>
      <c r="F83">
        <v>0</v>
      </c>
      <c r="G83">
        <v>0</v>
      </c>
      <c r="H83">
        <v>0</v>
      </c>
      <c r="I83">
        <v>0</v>
      </c>
      <c r="J83">
        <v>0</v>
      </c>
      <c r="K83">
        <v>0</v>
      </c>
      <c r="N83">
        <v>1</v>
      </c>
      <c r="Q83">
        <v>1</v>
      </c>
    </row>
    <row r="84" spans="1:17" x14ac:dyDescent="0.3">
      <c r="A84" t="s">
        <v>1814</v>
      </c>
      <c r="B84" t="s">
        <v>137</v>
      </c>
      <c r="C84" t="s">
        <v>1166</v>
      </c>
      <c r="D84">
        <v>2</v>
      </c>
      <c r="E84">
        <v>1</v>
      </c>
      <c r="F84">
        <v>-1</v>
      </c>
      <c r="G84">
        <v>6</v>
      </c>
      <c r="H84">
        <v>6</v>
      </c>
      <c r="I84">
        <v>0</v>
      </c>
      <c r="J84">
        <v>6</v>
      </c>
      <c r="K84">
        <v>6</v>
      </c>
      <c r="L84" t="s">
        <v>1946</v>
      </c>
      <c r="M84" t="s">
        <v>1945</v>
      </c>
      <c r="N84">
        <v>0</v>
      </c>
      <c r="O84" t="s">
        <v>1937</v>
      </c>
      <c r="P84" t="s">
        <v>1937</v>
      </c>
      <c r="Q84">
        <v>0</v>
      </c>
    </row>
    <row r="85" spans="1:17" x14ac:dyDescent="0.3">
      <c r="A85" t="s">
        <v>1813</v>
      </c>
      <c r="B85" t="s">
        <v>306</v>
      </c>
      <c r="C85" t="s">
        <v>1426</v>
      </c>
      <c r="D85">
        <v>0</v>
      </c>
      <c r="E85">
        <v>0</v>
      </c>
      <c r="F85">
        <v>0</v>
      </c>
      <c r="G85">
        <v>0</v>
      </c>
      <c r="H85">
        <v>0</v>
      </c>
      <c r="I85">
        <v>0</v>
      </c>
      <c r="J85">
        <v>0</v>
      </c>
      <c r="K85">
        <v>0</v>
      </c>
      <c r="N85">
        <v>1</v>
      </c>
      <c r="Q85">
        <v>1</v>
      </c>
    </row>
    <row r="86" spans="1:17" x14ac:dyDescent="0.3">
      <c r="A86" t="s">
        <v>1812</v>
      </c>
      <c r="B86" t="s">
        <v>199</v>
      </c>
      <c r="C86" t="s">
        <v>1379</v>
      </c>
      <c r="D86">
        <v>1</v>
      </c>
      <c r="E86">
        <v>1</v>
      </c>
      <c r="F86">
        <v>0</v>
      </c>
      <c r="G86">
        <v>7</v>
      </c>
      <c r="H86">
        <v>6</v>
      </c>
      <c r="I86">
        <v>-1</v>
      </c>
      <c r="J86">
        <v>7</v>
      </c>
      <c r="K86">
        <v>6</v>
      </c>
      <c r="L86" t="s">
        <v>1944</v>
      </c>
      <c r="M86" t="s">
        <v>1943</v>
      </c>
      <c r="N86">
        <v>0</v>
      </c>
      <c r="O86" t="s">
        <v>1937</v>
      </c>
      <c r="P86" t="s">
        <v>1937</v>
      </c>
      <c r="Q86">
        <v>0</v>
      </c>
    </row>
    <row r="87" spans="1:17" x14ac:dyDescent="0.3">
      <c r="A87" t="s">
        <v>1811</v>
      </c>
      <c r="B87" t="s">
        <v>333</v>
      </c>
      <c r="C87" t="s">
        <v>1232</v>
      </c>
      <c r="D87">
        <v>1</v>
      </c>
      <c r="E87">
        <v>1</v>
      </c>
      <c r="F87">
        <v>0</v>
      </c>
      <c r="G87">
        <v>7</v>
      </c>
      <c r="H87">
        <v>6</v>
      </c>
      <c r="I87">
        <v>-1</v>
      </c>
      <c r="J87">
        <v>7</v>
      </c>
      <c r="K87">
        <v>6</v>
      </c>
      <c r="L87" t="s">
        <v>1942</v>
      </c>
      <c r="M87" t="s">
        <v>1941</v>
      </c>
      <c r="N87">
        <v>0</v>
      </c>
      <c r="O87" t="s">
        <v>1913</v>
      </c>
      <c r="P87" t="s">
        <v>1937</v>
      </c>
      <c r="Q87">
        <v>0</v>
      </c>
    </row>
    <row r="88" spans="1:17" x14ac:dyDescent="0.3">
      <c r="A88" t="s">
        <v>1810</v>
      </c>
      <c r="B88" t="s">
        <v>83</v>
      </c>
      <c r="C88" t="s">
        <v>1210</v>
      </c>
      <c r="D88">
        <v>1</v>
      </c>
      <c r="E88">
        <v>0</v>
      </c>
      <c r="F88">
        <v>-1</v>
      </c>
      <c r="G88">
        <v>6</v>
      </c>
      <c r="H88">
        <v>0</v>
      </c>
      <c r="I88">
        <v>-6</v>
      </c>
      <c r="J88">
        <v>6</v>
      </c>
      <c r="K88">
        <v>0</v>
      </c>
      <c r="L88" t="s">
        <v>1940</v>
      </c>
      <c r="N88">
        <v>0</v>
      </c>
      <c r="O88" t="s">
        <v>1913</v>
      </c>
      <c r="Q88">
        <v>0</v>
      </c>
    </row>
    <row r="89" spans="1:17" x14ac:dyDescent="0.3">
      <c r="A89" t="s">
        <v>1809</v>
      </c>
      <c r="B89" t="s">
        <v>368</v>
      </c>
      <c r="C89" t="s">
        <v>1309</v>
      </c>
      <c r="D89">
        <v>2</v>
      </c>
      <c r="E89">
        <v>1</v>
      </c>
      <c r="F89">
        <v>-1</v>
      </c>
      <c r="G89">
        <v>8</v>
      </c>
      <c r="H89">
        <v>7</v>
      </c>
      <c r="I89">
        <v>-1</v>
      </c>
      <c r="J89">
        <v>8</v>
      </c>
      <c r="K89">
        <v>7</v>
      </c>
      <c r="L89" t="s">
        <v>1939</v>
      </c>
      <c r="M89" t="s">
        <v>1917</v>
      </c>
      <c r="N89">
        <v>0</v>
      </c>
      <c r="O89" t="s">
        <v>1937</v>
      </c>
      <c r="P89" t="s">
        <v>1937</v>
      </c>
      <c r="Q89">
        <v>0</v>
      </c>
    </row>
    <row r="90" spans="1:17" x14ac:dyDescent="0.3">
      <c r="A90" t="s">
        <v>1808</v>
      </c>
      <c r="B90" t="s">
        <v>132</v>
      </c>
      <c r="C90" t="s">
        <v>655</v>
      </c>
      <c r="D90">
        <v>1</v>
      </c>
      <c r="E90">
        <v>0</v>
      </c>
      <c r="F90">
        <v>-1</v>
      </c>
      <c r="G90">
        <v>8</v>
      </c>
      <c r="H90">
        <v>0</v>
      </c>
      <c r="I90">
        <v>-8</v>
      </c>
      <c r="J90">
        <v>8</v>
      </c>
      <c r="K90">
        <v>0</v>
      </c>
      <c r="L90" t="s">
        <v>1938</v>
      </c>
      <c r="N90">
        <v>0</v>
      </c>
      <c r="O90" t="s">
        <v>1937</v>
      </c>
      <c r="Q90">
        <v>0</v>
      </c>
    </row>
    <row r="91" spans="1:17" x14ac:dyDescent="0.3">
      <c r="A91" t="s">
        <v>1807</v>
      </c>
      <c r="B91" t="s">
        <v>417</v>
      </c>
      <c r="C91" t="s">
        <v>1259</v>
      </c>
      <c r="D91">
        <v>3</v>
      </c>
      <c r="E91">
        <v>1</v>
      </c>
      <c r="F91">
        <v>-2</v>
      </c>
      <c r="G91">
        <v>8</v>
      </c>
      <c r="H91">
        <v>7</v>
      </c>
      <c r="I91">
        <v>-1</v>
      </c>
      <c r="J91">
        <v>9</v>
      </c>
      <c r="K91">
        <v>7</v>
      </c>
      <c r="L91" t="s">
        <v>1936</v>
      </c>
      <c r="M91" t="s">
        <v>1917</v>
      </c>
      <c r="N91">
        <v>0</v>
      </c>
      <c r="O91" t="s">
        <v>1935</v>
      </c>
      <c r="P91" t="s">
        <v>1932</v>
      </c>
      <c r="Q91">
        <v>0</v>
      </c>
    </row>
    <row r="92" spans="1:17" x14ac:dyDescent="0.3">
      <c r="A92" t="s">
        <v>1806</v>
      </c>
      <c r="B92" t="s">
        <v>64</v>
      </c>
      <c r="C92" t="s">
        <v>1296</v>
      </c>
      <c r="D92">
        <v>1</v>
      </c>
      <c r="E92">
        <v>0</v>
      </c>
      <c r="F92">
        <v>-1</v>
      </c>
      <c r="G92">
        <v>3</v>
      </c>
      <c r="H92">
        <v>0</v>
      </c>
      <c r="I92">
        <v>-3</v>
      </c>
      <c r="J92">
        <v>3</v>
      </c>
      <c r="K92">
        <v>0</v>
      </c>
      <c r="L92" t="s">
        <v>1934</v>
      </c>
      <c r="N92">
        <v>0</v>
      </c>
      <c r="O92" t="s">
        <v>1916</v>
      </c>
      <c r="Q92">
        <v>0</v>
      </c>
    </row>
    <row r="93" spans="1:17" x14ac:dyDescent="0.3">
      <c r="A93" t="s">
        <v>1805</v>
      </c>
      <c r="B93" t="s">
        <v>407</v>
      </c>
      <c r="C93" t="s">
        <v>1090</v>
      </c>
      <c r="D93">
        <v>1</v>
      </c>
      <c r="E93">
        <v>1</v>
      </c>
      <c r="F93">
        <v>0</v>
      </c>
      <c r="G93">
        <v>8</v>
      </c>
      <c r="H93">
        <v>8</v>
      </c>
      <c r="I93">
        <v>0</v>
      </c>
      <c r="J93">
        <v>8</v>
      </c>
      <c r="K93">
        <v>8</v>
      </c>
      <c r="L93" t="s">
        <v>1933</v>
      </c>
      <c r="M93" t="s">
        <v>1917</v>
      </c>
      <c r="N93">
        <v>0</v>
      </c>
      <c r="O93" t="s">
        <v>1932</v>
      </c>
      <c r="P93" t="s">
        <v>1931</v>
      </c>
      <c r="Q93">
        <v>0</v>
      </c>
    </row>
    <row r="94" spans="1:17" x14ac:dyDescent="0.3">
      <c r="A94" t="s">
        <v>1804</v>
      </c>
      <c r="B94" t="s">
        <v>491</v>
      </c>
      <c r="C94" t="s">
        <v>784</v>
      </c>
      <c r="D94">
        <v>2</v>
      </c>
      <c r="E94">
        <v>0</v>
      </c>
      <c r="F94">
        <v>-2</v>
      </c>
      <c r="G94">
        <v>4</v>
      </c>
      <c r="H94">
        <v>0</v>
      </c>
      <c r="I94">
        <v>-4</v>
      </c>
      <c r="J94">
        <v>4</v>
      </c>
      <c r="K94">
        <v>0</v>
      </c>
      <c r="L94" t="s">
        <v>1930</v>
      </c>
      <c r="N94">
        <v>0</v>
      </c>
      <c r="O94" t="s">
        <v>1924</v>
      </c>
      <c r="Q94">
        <v>0</v>
      </c>
    </row>
    <row r="95" spans="1:17" x14ac:dyDescent="0.3">
      <c r="A95" t="s">
        <v>1803</v>
      </c>
      <c r="B95" t="s">
        <v>432</v>
      </c>
      <c r="C95" t="s">
        <v>973</v>
      </c>
      <c r="D95">
        <v>1</v>
      </c>
      <c r="E95">
        <v>0</v>
      </c>
      <c r="F95">
        <v>-1</v>
      </c>
      <c r="G95">
        <v>5</v>
      </c>
      <c r="H95">
        <v>0</v>
      </c>
      <c r="I95">
        <v>-5</v>
      </c>
      <c r="J95">
        <v>5</v>
      </c>
      <c r="K95">
        <v>0</v>
      </c>
      <c r="L95" t="s">
        <v>1929</v>
      </c>
      <c r="N95">
        <v>0</v>
      </c>
      <c r="O95" t="s">
        <v>1924</v>
      </c>
      <c r="Q95">
        <v>0</v>
      </c>
    </row>
    <row r="96" spans="1:17" x14ac:dyDescent="0.3">
      <c r="A96" t="s">
        <v>1802</v>
      </c>
      <c r="B96" t="s">
        <v>329</v>
      </c>
      <c r="C96" t="s">
        <v>600</v>
      </c>
      <c r="D96">
        <v>0</v>
      </c>
      <c r="E96">
        <v>0</v>
      </c>
      <c r="F96">
        <v>0</v>
      </c>
      <c r="G96">
        <v>0</v>
      </c>
      <c r="H96">
        <v>0</v>
      </c>
      <c r="I96">
        <v>0</v>
      </c>
      <c r="J96">
        <v>0</v>
      </c>
      <c r="K96">
        <v>0</v>
      </c>
      <c r="N96">
        <v>1</v>
      </c>
      <c r="Q96">
        <v>1</v>
      </c>
    </row>
    <row r="97" spans="1:17" x14ac:dyDescent="0.3">
      <c r="A97" t="s">
        <v>1801</v>
      </c>
      <c r="B97" t="s">
        <v>283</v>
      </c>
      <c r="C97" t="s">
        <v>1477</v>
      </c>
      <c r="D97">
        <v>2</v>
      </c>
      <c r="E97">
        <v>0</v>
      </c>
      <c r="F97">
        <v>-2</v>
      </c>
      <c r="G97">
        <v>4</v>
      </c>
      <c r="H97">
        <v>0</v>
      </c>
      <c r="I97">
        <v>-4</v>
      </c>
      <c r="J97">
        <v>4</v>
      </c>
      <c r="K97">
        <v>0</v>
      </c>
      <c r="L97" t="s">
        <v>1928</v>
      </c>
      <c r="N97">
        <v>0</v>
      </c>
      <c r="O97" t="s">
        <v>1924</v>
      </c>
      <c r="Q97">
        <v>0</v>
      </c>
    </row>
    <row r="98" spans="1:17" x14ac:dyDescent="0.3">
      <c r="A98" t="s">
        <v>1800</v>
      </c>
      <c r="B98" t="s">
        <v>478</v>
      </c>
      <c r="C98" t="s">
        <v>1370</v>
      </c>
      <c r="D98">
        <v>0</v>
      </c>
      <c r="E98">
        <v>0</v>
      </c>
      <c r="F98">
        <v>0</v>
      </c>
      <c r="G98">
        <v>0</v>
      </c>
      <c r="H98">
        <v>0</v>
      </c>
      <c r="I98">
        <v>0</v>
      </c>
      <c r="J98">
        <v>0</v>
      </c>
      <c r="K98">
        <v>0</v>
      </c>
      <c r="N98">
        <v>1</v>
      </c>
      <c r="Q98">
        <v>1</v>
      </c>
    </row>
    <row r="99" spans="1:17" x14ac:dyDescent="0.3">
      <c r="A99" t="s">
        <v>1799</v>
      </c>
      <c r="B99" t="s">
        <v>219</v>
      </c>
      <c r="C99" t="s">
        <v>926</v>
      </c>
      <c r="D99">
        <v>1</v>
      </c>
      <c r="E99">
        <v>0</v>
      </c>
      <c r="F99">
        <v>-1</v>
      </c>
      <c r="G99">
        <v>6</v>
      </c>
      <c r="H99">
        <v>0</v>
      </c>
      <c r="I99">
        <v>-6</v>
      </c>
      <c r="J99">
        <v>6</v>
      </c>
      <c r="K99">
        <v>0</v>
      </c>
      <c r="L99" t="s">
        <v>1927</v>
      </c>
      <c r="N99">
        <v>0</v>
      </c>
      <c r="O99" t="s">
        <v>1924</v>
      </c>
      <c r="Q99">
        <v>0</v>
      </c>
    </row>
    <row r="100" spans="1:17" x14ac:dyDescent="0.3">
      <c r="A100" t="s">
        <v>1798</v>
      </c>
      <c r="B100" t="s">
        <v>412</v>
      </c>
      <c r="C100" t="s">
        <v>1406</v>
      </c>
      <c r="D100">
        <v>1</v>
      </c>
      <c r="E100">
        <v>0</v>
      </c>
      <c r="F100">
        <v>-1</v>
      </c>
      <c r="G100">
        <v>6</v>
      </c>
      <c r="H100">
        <v>0</v>
      </c>
      <c r="I100">
        <v>-6</v>
      </c>
      <c r="J100">
        <v>6</v>
      </c>
      <c r="K100">
        <v>0</v>
      </c>
      <c r="L100" t="s">
        <v>1926</v>
      </c>
      <c r="N100">
        <v>0</v>
      </c>
      <c r="O100" t="s">
        <v>1924</v>
      </c>
      <c r="Q100">
        <v>0</v>
      </c>
    </row>
    <row r="101" spans="1:17" x14ac:dyDescent="0.3">
      <c r="A101" t="s">
        <v>1797</v>
      </c>
      <c r="B101" t="s">
        <v>55</v>
      </c>
      <c r="C101" t="s">
        <v>802</v>
      </c>
      <c r="D101">
        <v>1</v>
      </c>
      <c r="E101">
        <v>0</v>
      </c>
      <c r="F101">
        <v>-1</v>
      </c>
      <c r="G101">
        <v>5</v>
      </c>
      <c r="H101">
        <v>0</v>
      </c>
      <c r="I101">
        <v>-5</v>
      </c>
      <c r="J101">
        <v>5</v>
      </c>
      <c r="K101">
        <v>0</v>
      </c>
      <c r="L101" t="s">
        <v>1925</v>
      </c>
      <c r="N101">
        <v>0</v>
      </c>
      <c r="O101" t="s">
        <v>1924</v>
      </c>
      <c r="Q101">
        <v>0</v>
      </c>
    </row>
    <row r="102" spans="1:17" x14ac:dyDescent="0.3">
      <c r="A102" t="s">
        <v>1796</v>
      </c>
      <c r="B102" t="s">
        <v>459</v>
      </c>
      <c r="C102" t="s">
        <v>833</v>
      </c>
      <c r="D102">
        <v>0</v>
      </c>
      <c r="E102">
        <v>0</v>
      </c>
      <c r="F102">
        <v>0</v>
      </c>
      <c r="G102">
        <v>0</v>
      </c>
      <c r="H102">
        <v>0</v>
      </c>
      <c r="I102">
        <v>0</v>
      </c>
      <c r="J102">
        <v>0</v>
      </c>
      <c r="K102">
        <v>0</v>
      </c>
      <c r="N102">
        <v>1</v>
      </c>
      <c r="Q102">
        <v>1</v>
      </c>
    </row>
    <row r="103" spans="1:17" x14ac:dyDescent="0.3">
      <c r="A103" t="s">
        <v>1795</v>
      </c>
      <c r="B103" t="s">
        <v>229</v>
      </c>
      <c r="C103" t="s">
        <v>1030</v>
      </c>
      <c r="D103">
        <v>0</v>
      </c>
      <c r="E103">
        <v>0</v>
      </c>
      <c r="F103">
        <v>0</v>
      </c>
      <c r="G103">
        <v>0</v>
      </c>
      <c r="H103">
        <v>0</v>
      </c>
      <c r="I103">
        <v>0</v>
      </c>
      <c r="J103">
        <v>0</v>
      </c>
      <c r="K103">
        <v>0</v>
      </c>
      <c r="N103">
        <v>1</v>
      </c>
      <c r="Q103">
        <v>1</v>
      </c>
    </row>
    <row r="104" spans="1:17" x14ac:dyDescent="0.3">
      <c r="A104" t="s">
        <v>1794</v>
      </c>
      <c r="B104" t="s">
        <v>402</v>
      </c>
      <c r="C104" t="s">
        <v>1206</v>
      </c>
      <c r="D104">
        <v>2</v>
      </c>
      <c r="E104">
        <v>0</v>
      </c>
      <c r="F104">
        <v>-2</v>
      </c>
      <c r="G104">
        <v>5</v>
      </c>
      <c r="H104">
        <v>0</v>
      </c>
      <c r="I104">
        <v>-5</v>
      </c>
      <c r="J104">
        <v>5</v>
      </c>
      <c r="K104">
        <v>0</v>
      </c>
      <c r="L104" t="s">
        <v>1923</v>
      </c>
      <c r="N104">
        <v>0</v>
      </c>
      <c r="O104" t="s">
        <v>1922</v>
      </c>
      <c r="Q104">
        <v>0</v>
      </c>
    </row>
    <row r="105" spans="1:17" x14ac:dyDescent="0.3">
      <c r="A105" t="s">
        <v>1793</v>
      </c>
      <c r="B105" t="s">
        <v>482</v>
      </c>
      <c r="C105" t="s">
        <v>761</v>
      </c>
      <c r="D105">
        <v>2</v>
      </c>
      <c r="E105">
        <v>3</v>
      </c>
      <c r="F105">
        <v>1</v>
      </c>
      <c r="G105">
        <v>7</v>
      </c>
      <c r="H105">
        <v>7</v>
      </c>
      <c r="I105">
        <v>0</v>
      </c>
      <c r="J105">
        <v>7</v>
      </c>
      <c r="K105">
        <v>7</v>
      </c>
      <c r="L105" t="s">
        <v>1921</v>
      </c>
      <c r="M105" t="s">
        <v>1920</v>
      </c>
      <c r="N105">
        <v>0</v>
      </c>
      <c r="O105" t="s">
        <v>1909</v>
      </c>
      <c r="P105" t="s">
        <v>1919</v>
      </c>
      <c r="Q105">
        <v>0</v>
      </c>
    </row>
    <row r="106" spans="1:17" x14ac:dyDescent="0.3">
      <c r="A106" t="s">
        <v>1792</v>
      </c>
      <c r="B106" t="s">
        <v>204</v>
      </c>
      <c r="C106" t="s">
        <v>737</v>
      </c>
      <c r="D106">
        <v>2</v>
      </c>
      <c r="E106">
        <v>1</v>
      </c>
      <c r="F106">
        <v>-1</v>
      </c>
      <c r="G106">
        <v>4</v>
      </c>
      <c r="H106">
        <v>4</v>
      </c>
      <c r="I106">
        <v>0</v>
      </c>
      <c r="J106">
        <v>4</v>
      </c>
      <c r="K106">
        <v>4</v>
      </c>
      <c r="L106" t="s">
        <v>1918</v>
      </c>
      <c r="M106" t="s">
        <v>1917</v>
      </c>
      <c r="N106">
        <v>0</v>
      </c>
      <c r="O106" t="s">
        <v>1916</v>
      </c>
      <c r="P106" t="s">
        <v>1916</v>
      </c>
      <c r="Q106">
        <v>0</v>
      </c>
    </row>
    <row r="107" spans="1:17" x14ac:dyDescent="0.3">
      <c r="A107" t="s">
        <v>1791</v>
      </c>
      <c r="B107" t="s">
        <v>473</v>
      </c>
      <c r="C107" t="s">
        <v>981</v>
      </c>
      <c r="D107">
        <v>2</v>
      </c>
      <c r="E107">
        <v>1</v>
      </c>
      <c r="F107">
        <v>-1</v>
      </c>
      <c r="G107">
        <v>6</v>
      </c>
      <c r="H107">
        <v>5</v>
      </c>
      <c r="I107">
        <v>-1</v>
      </c>
      <c r="J107">
        <v>6</v>
      </c>
      <c r="K107">
        <v>5</v>
      </c>
      <c r="L107" t="s">
        <v>1915</v>
      </c>
      <c r="M107" t="s">
        <v>1914</v>
      </c>
      <c r="N107">
        <v>0</v>
      </c>
      <c r="O107" t="s">
        <v>1913</v>
      </c>
      <c r="P107" t="s">
        <v>1912</v>
      </c>
      <c r="Q107">
        <v>0</v>
      </c>
    </row>
    <row r="108" spans="1:17" x14ac:dyDescent="0.3">
      <c r="A108" t="s">
        <v>1790</v>
      </c>
      <c r="B108" t="s">
        <v>6</v>
      </c>
      <c r="C108" t="s">
        <v>1468</v>
      </c>
      <c r="D108">
        <v>2</v>
      </c>
      <c r="E108">
        <v>1</v>
      </c>
      <c r="F108">
        <v>-1</v>
      </c>
      <c r="G108">
        <v>8</v>
      </c>
      <c r="H108">
        <v>8</v>
      </c>
      <c r="I108">
        <v>0</v>
      </c>
      <c r="J108">
        <v>8</v>
      </c>
      <c r="K108">
        <v>8</v>
      </c>
      <c r="L108" t="s">
        <v>1911</v>
      </c>
      <c r="M108" t="s">
        <v>1910</v>
      </c>
      <c r="N108">
        <v>0</v>
      </c>
      <c r="O108" t="s">
        <v>1909</v>
      </c>
      <c r="P108" t="s">
        <v>1909</v>
      </c>
      <c r="Q108">
        <v>0</v>
      </c>
    </row>
    <row r="109" spans="1:17" x14ac:dyDescent="0.3">
      <c r="A109" t="s">
        <v>1789</v>
      </c>
      <c r="B109" t="s">
        <v>74</v>
      </c>
      <c r="C109" t="s">
        <v>551</v>
      </c>
      <c r="D109">
        <v>0</v>
      </c>
      <c r="E109">
        <v>0</v>
      </c>
      <c r="F109">
        <v>0</v>
      </c>
      <c r="G109">
        <v>0</v>
      </c>
      <c r="H109">
        <v>0</v>
      </c>
      <c r="I109">
        <v>0</v>
      </c>
      <c r="J109">
        <v>0</v>
      </c>
      <c r="K109">
        <v>0</v>
      </c>
      <c r="N109">
        <v>1</v>
      </c>
      <c r="Q109">
        <v>1</v>
      </c>
    </row>
    <row r="110" spans="1:17" x14ac:dyDescent="0.3">
      <c r="A110" t="s">
        <v>1788</v>
      </c>
      <c r="B110" t="s">
        <v>534</v>
      </c>
      <c r="C110" t="s">
        <v>1361</v>
      </c>
      <c r="D110">
        <v>0</v>
      </c>
      <c r="E110">
        <v>0</v>
      </c>
      <c r="F110">
        <v>0</v>
      </c>
      <c r="G110">
        <v>0</v>
      </c>
      <c r="H110">
        <v>0</v>
      </c>
      <c r="I110">
        <v>0</v>
      </c>
      <c r="J110">
        <v>0</v>
      </c>
      <c r="K110">
        <v>0</v>
      </c>
      <c r="N110">
        <v>1</v>
      </c>
      <c r="Q110">
        <v>1</v>
      </c>
    </row>
    <row r="111" spans="1:17" x14ac:dyDescent="0.3">
      <c r="A111" t="s">
        <v>1787</v>
      </c>
      <c r="B111" t="s">
        <v>191</v>
      </c>
      <c r="C111" t="s">
        <v>798</v>
      </c>
      <c r="D111">
        <v>0</v>
      </c>
      <c r="E111">
        <v>0</v>
      </c>
      <c r="F111">
        <v>0</v>
      </c>
      <c r="G111">
        <v>0</v>
      </c>
      <c r="H111">
        <v>0</v>
      </c>
      <c r="I111">
        <v>0</v>
      </c>
      <c r="J111">
        <v>0</v>
      </c>
      <c r="K111">
        <v>0</v>
      </c>
      <c r="N111">
        <v>1</v>
      </c>
      <c r="Q111">
        <v>1</v>
      </c>
    </row>
    <row r="112" spans="1:17" x14ac:dyDescent="0.3">
      <c r="A112" t="s">
        <v>1786</v>
      </c>
      <c r="B112" t="s">
        <v>60</v>
      </c>
      <c r="C112" t="s">
        <v>1410</v>
      </c>
      <c r="D112">
        <v>0</v>
      </c>
      <c r="E112">
        <v>0</v>
      </c>
      <c r="F112">
        <v>0</v>
      </c>
      <c r="G112">
        <v>0</v>
      </c>
      <c r="H112">
        <v>0</v>
      </c>
      <c r="I112">
        <v>0</v>
      </c>
      <c r="J112">
        <v>0</v>
      </c>
      <c r="K112">
        <v>0</v>
      </c>
      <c r="N112">
        <v>1</v>
      </c>
      <c r="Q112">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results-Mixed</vt:lpstr>
      <vt:lpstr>Text comparin</vt:lpstr>
      <vt:lpstr>results-blurred</vt:lpstr>
      <vt:lpstr>Analysis-compare</vt:lpstr>
      <vt:lpstr>statistics</vt:lpstr>
      <vt:lpstr>PerImageAggregated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Ezra Ella</cp:lastModifiedBy>
  <dcterms:created xsi:type="dcterms:W3CDTF">2025-12-27T20:05:20Z</dcterms:created>
  <dcterms:modified xsi:type="dcterms:W3CDTF">2026-01-08T17:46:44Z</dcterms:modified>
</cp:coreProperties>
</file>