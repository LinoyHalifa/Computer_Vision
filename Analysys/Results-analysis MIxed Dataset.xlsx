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zra\Desktop\Changed Files\Afeka\ComputerVision\"/>
    </mc:Choice>
  </mc:AlternateContent>
  <xr:revisionPtr revIDLastSave="0" documentId="13_ncr:1_{192F1ED3-D68E-42DB-AC91-1F23A5FA152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isk-table-short" sheetId="2" r:id="rId1"/>
    <sheet name="Risk-Table" sheetId="3" r:id="rId2"/>
    <sheet name="Scoring Table reasoning" sheetId="6" r:id="rId3"/>
    <sheet name="Non-anomaly" sheetId="4" r:id="rId4"/>
    <sheet name="Anomaly score" sheetId="1" r:id="rId5"/>
    <sheet name="Analysis" sheetId="5" r:id="rId6"/>
  </sheets>
  <definedNames>
    <definedName name="_xlnm._FilterDatabase" localSheetId="4" hidden="1">'Anomaly score'!$C$1:$C$201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" i="1" l="1"/>
  <c r="Z12" i="5"/>
  <c r="Z3" i="5"/>
  <c r="Z4" i="5"/>
  <c r="Z5" i="5"/>
  <c r="Z6" i="5"/>
  <c r="Z7" i="5"/>
  <c r="Z8" i="5"/>
  <c r="Z9" i="5"/>
  <c r="Z10" i="5"/>
  <c r="Z11" i="5"/>
  <c r="Z2" i="5"/>
  <c r="F202" i="1"/>
  <c r="F203" i="1"/>
  <c r="Y3" i="5"/>
  <c r="Y4" i="5"/>
  <c r="Y5" i="5"/>
  <c r="Y6" i="5"/>
  <c r="Y7" i="5"/>
  <c r="Y8" i="5"/>
  <c r="Y9" i="5"/>
  <c r="Y10" i="5"/>
  <c r="Y11" i="5"/>
  <c r="Y2" i="5"/>
  <c r="U4" i="5"/>
  <c r="U3" i="5"/>
  <c r="U2" i="5"/>
  <c r="C3" i="5"/>
  <c r="C2" i="5"/>
  <c r="O32" i="5"/>
  <c r="C7" i="5" s="1"/>
  <c r="F4" i="5" s="1"/>
  <c r="L32" i="5"/>
  <c r="C5" i="5" s="1"/>
  <c r="H32" i="5"/>
  <c r="C6" i="5" s="1"/>
  <c r="G4" i="5" s="1"/>
  <c r="J3" i="5" s="1"/>
  <c r="G27" i="4"/>
  <c r="J27" i="4"/>
  <c r="C27" i="4"/>
  <c r="L3" i="1"/>
  <c r="L4" i="1"/>
  <c r="L5" i="1"/>
  <c r="L6" i="1"/>
  <c r="L7" i="1"/>
  <c r="L8" i="1"/>
  <c r="L9" i="1"/>
  <c r="L10" i="1"/>
  <c r="L11" i="1"/>
  <c r="L2" i="1"/>
  <c r="F200" i="1"/>
  <c r="D200" i="1"/>
  <c r="I199" i="1"/>
  <c r="F199" i="1"/>
  <c r="D199" i="1"/>
  <c r="I198" i="1"/>
  <c r="E198" i="1"/>
  <c r="F198" i="1"/>
  <c r="D198" i="1"/>
  <c r="D201" i="1" s="1"/>
  <c r="C1" i="5" l="1"/>
  <c r="F3" i="5"/>
  <c r="C4" i="5"/>
  <c r="G3" i="5" s="1"/>
  <c r="F201" i="1"/>
  <c r="J2" i="5" l="1"/>
  <c r="J4" i="5"/>
  <c r="J5" i="5"/>
  <c r="J6" i="5" s="1"/>
</calcChain>
</file>

<file path=xl/sharedStrings.xml><?xml version="1.0" encoding="utf-8"?>
<sst xmlns="http://schemas.openxmlformats.org/spreadsheetml/2006/main" count="1198" uniqueCount="590">
  <si>
    <t>Sample ID</t>
  </si>
  <si>
    <t>Anomaly Type</t>
  </si>
  <si>
    <t>Risk Score (1-10)</t>
  </si>
  <si>
    <t>Risk Target</t>
  </si>
  <si>
    <t>Reasoning (Summary)</t>
  </si>
  <si>
    <t>Mixed/0001.png</t>
  </si>
  <si>
    <t>sidewalk_obstruction</t>
  </si>
  <si>
    <t>pedestrians</t>
  </si>
  <si>
    <t xml:space="preserve">Pile of branches and container block much of the sidewalk, forcing pedestrians into the street at night. </t>
  </si>
  <si>
    <t>overall</t>
  </si>
  <si>
    <t xml:space="preserve">The main risk is the blocked sidewalk in low-light conditions, posing a notable risk mainly to pedestrians. </t>
  </si>
  <si>
    <t>Mixed/0002.png</t>
  </si>
  <si>
    <t>slip_trip_hazard</t>
  </si>
  <si>
    <t xml:space="preserve">Water puddle on sidewalk could cause slipping or force detours, increasing trip risk. </t>
  </si>
  <si>
    <t>Risk assessed as moderate due to potential slip/trip hazard from the puddle.</t>
  </si>
  <si>
    <t>Mixed/0003.png</t>
  </si>
  <si>
    <t xml:space="preserve">Bulky waste completely obstructs sidewalk, forcing pedestrians into the road in low light. </t>
  </si>
  <si>
    <t>narrowed_pedestrian_space</t>
  </si>
  <si>
    <t>Car parked close to sidewalk edge further restricts passage near the obstruction.</t>
  </si>
  <si>
    <t>The main hazard is the blocked sidewalk in low-light conditions.</t>
  </si>
  <si>
    <t>Mixed/0006.png</t>
  </si>
  <si>
    <t>limited_visibility_crosswalk_at_night</t>
  </si>
  <si>
    <t>pedestrians, drivers</t>
  </si>
  <si>
    <t xml:space="preserve">Pedestrian is crossing at night in dark clothes under a tree canopy, reducing driver visibility. </t>
  </si>
  <si>
    <t>Moderate nighttime crossing risk due to reduced visibility.</t>
  </si>
  <si>
    <t>Mixed/0007.png</t>
  </si>
  <si>
    <t>conflicting_signal_for_pedestrians_and_vehicles</t>
  </si>
  <si>
    <t xml:space="preserve">Pedestrians are in the crosswalk while visible vehicle traffic lights are green, creating collision risk. </t>
  </si>
  <si>
    <t>Moderate risk due to conflicting right-of-way indications.</t>
  </si>
  <si>
    <t>Mixed/0008.png</t>
  </si>
  <si>
    <t xml:space="preserve">Large cardboard items and overhanging bushes significantly narrow usable sidewalk, forcing detour toward curb/street. </t>
  </si>
  <si>
    <t>Moderate safety concern from pedestrian path obstruction.</t>
  </si>
  <si>
    <t>Mixed/0009.png</t>
  </si>
  <si>
    <t>sidewalk_obstruction_by_bulk_waste</t>
  </si>
  <si>
    <t>pedestrians, general_civilians</t>
  </si>
  <si>
    <t xml:space="preserve">Waste partially blocks sidewalk and entrance in low-light, increasing trip/collision risk. </t>
  </si>
  <si>
    <t>slip_and_trip_hazard</t>
  </si>
  <si>
    <t xml:space="preserve">Loose bubble wrap and a low-lying glass panel are hard to see at night, increasing fall risk and potential injury from glass. </t>
  </si>
  <si>
    <t>potential_obstruction_of_fire_hydrant</t>
  </si>
  <si>
    <t>general_civilians, emergency_services</t>
  </si>
  <si>
    <t>Cardboard near fire hydrant could delay emergency access or add fuel to fire.</t>
  </si>
  <si>
    <t>Risks are primarily to pedestrians using this sidewalk at night.</t>
  </si>
  <si>
    <t>Mixed/0010.png</t>
  </si>
  <si>
    <t>vehicle_obstructing_sidewalk</t>
  </si>
  <si>
    <t xml:space="preserve">Covered motorcycle blocks most of the sidewalk, forcing pedestrians to detour or squeeze past, increasing trip/collision risk at night. </t>
  </si>
  <si>
    <t>Moderate safety concern for pedestrian accessibility and risk of tripping/collision.</t>
  </si>
  <si>
    <t>Mixed/0011.jpg</t>
  </si>
  <si>
    <t>open_manhole_in_traffic_lane</t>
  </si>
  <si>
    <t>drivers, cyclists, pedestrians</t>
  </si>
  <si>
    <t xml:space="preserve">Uncovered manhole is loosely marked by cones, still posing a risk of falling into the shaft. </t>
  </si>
  <si>
    <t xml:space="preserve">Significant hazard, partially mitigated by cones but not fully protected. </t>
  </si>
  <si>
    <t>Mixed/0012.jpg</t>
  </si>
  <si>
    <t>open_manhole_unprotected</t>
  </si>
  <si>
    <t>pedestrians, cyclists, drivers</t>
  </si>
  <si>
    <t xml:space="preserve">Uncovered manhole with no barriers on a travel surface is an imminent, life-threatening fall hazard. </t>
  </si>
  <si>
    <t>Extreme, unprotected hazard.</t>
  </si>
  <si>
    <t>Mixed/0013.jpg</t>
  </si>
  <si>
    <t>uncovered_manhole_in_path</t>
  </si>
  <si>
    <t xml:space="preserve">Uncovered manhole with broken edges directly in a paved path is a severe trip/fall hazard, especially in low light. </t>
  </si>
  <si>
    <t xml:space="preserve">Dominant risk is the large, unprotected opening. </t>
  </si>
  <si>
    <t>Mixed/0014.jpg</t>
  </si>
  <si>
    <t>severe_road_surface_hazard</t>
  </si>
  <si>
    <t>drivers, motorcyclists, cyclists</t>
  </si>
  <si>
    <t xml:space="preserve">Raised manhole surrounded by a large, deep pothole in the travel lane can cause damage, loss of control, or swerving. </t>
  </si>
  <si>
    <t>widespread_road_deterioration</t>
  </si>
  <si>
    <t>Extensive cracking and smaller potholes increase braking distance and chance of evasive maneuvers.</t>
  </si>
  <si>
    <t>Dominant hazard is the severe road surface damage in the vehicle path.</t>
  </si>
  <si>
    <t>Mixed/0015.jpg</t>
  </si>
  <si>
    <t>uncovered_manhole_or_large_pothole</t>
  </si>
  <si>
    <t>drivers, motorcyclists, cyclists, pedestrians</t>
  </si>
  <si>
    <t xml:space="preserve">Large, deep, unmarked hole in the middle of an active traffic lane poses a high crash and fall risk. </t>
  </si>
  <si>
    <t>Significant infrastructure defect and high risk.</t>
  </si>
  <si>
    <t>Mixed/0016.jpg</t>
  </si>
  <si>
    <t>unprotected_open_manhole</t>
  </si>
  <si>
    <t>pedestrians, drivers, cyclists</t>
  </si>
  <si>
    <t>Open manhole on a travel surface with no barriers and detached cover/tool creates severe fall/trip hazard.</t>
  </si>
  <si>
    <t>Open unbarricaded utility access points are universally considered high-risk.</t>
  </si>
  <si>
    <t>Mixed/0017.jpg</t>
  </si>
  <si>
    <t>uncovered_manhole_near_traffic</t>
  </si>
  <si>
    <t>cyclists, pedestrians, drivers</t>
  </si>
  <si>
    <t>Uncovered manhole at road edge where cyclists travel is a severe fall and injury risk.</t>
  </si>
  <si>
    <t>Uncovered manhole at a travel edge is a serious hazard.</t>
  </si>
  <si>
    <t>Mixed/0018.jpg</t>
  </si>
  <si>
    <t>open_hole_in_pedestrian_area</t>
  </si>
  <si>
    <t xml:space="preserve">Uncovered hole in the sidewalk is a significant, unmarked trip and fall hazard near a road. </t>
  </si>
  <si>
    <t>High risk for inattentive pedestrians due to the unprotected opening.</t>
  </si>
  <si>
    <t>Mixed/0019.jpg</t>
  </si>
  <si>
    <t>unprotected_open_manhole_or_tank</t>
  </si>
  <si>
    <t>pedestrians, workers</t>
  </si>
  <si>
    <t>Large open access point without barriers or warnings presents a high fall hazard.</t>
  </si>
  <si>
    <t>trip_and_entanglement_hazard</t>
  </si>
  <si>
    <t>Thick hose crossing the path near the open hole is a trip hazard that could lead to a fall into the tank.</t>
  </si>
  <si>
    <t>Open underground access points are generally considered high-risk everywhere without barriers.</t>
  </si>
  <si>
    <t>Mixed/0020.jpg</t>
  </si>
  <si>
    <t>damaged_infrastructure_pothole</t>
  </si>
  <si>
    <t>cyclists, scooter riders</t>
  </si>
  <si>
    <t>Water-filled pothole in or near a bike lane can cause loss of control or falls.</t>
  </si>
  <si>
    <t>Moderate risk localized to cyclists using the lane.</t>
  </si>
  <si>
    <t>Mixed/0021.jpg</t>
  </si>
  <si>
    <t>insufficiently_marked_open_manhole</t>
  </si>
  <si>
    <t xml:space="preserve">Open manhole in a traffic/pedestrian area with only a single cone is a large, unprotected fall and collision hazard. </t>
  </si>
  <si>
    <t>Uncovered manhole with minimal marking represents a high fall and trip hazard.</t>
  </si>
  <si>
    <t>Mixed/0022.jpg</t>
  </si>
  <si>
    <t>drivers, pedestrians, cyclists</t>
  </si>
  <si>
    <t>Uncovered manhole in an active traffic lane without warnings is an imminent severe crash or fall risk.</t>
  </si>
  <si>
    <t>The unprotected open manhole in an active traffic lane constitutes an imminent danger.</t>
  </si>
  <si>
    <t>Mixed/0023.jpg</t>
  </si>
  <si>
    <t>severe_roadway_damage</t>
  </si>
  <si>
    <t>drivers, cyclists, motorcyclists, pedestrians</t>
  </si>
  <si>
    <t xml:space="preserve">Large, deep pothole/collapse near the curb can cause loss of control or sudden swerving into adjacent areas. </t>
  </si>
  <si>
    <t>High risk from extensive infrastructure degradation.</t>
  </si>
  <si>
    <t>Mixed/0024.jpg</t>
  </si>
  <si>
    <t>severe_road_surface_damage</t>
  </si>
  <si>
    <t>drivers, vehicle_occupants, motorcyclists, cyclists</t>
  </si>
  <si>
    <t xml:space="preserve">Large, water-filled pothole on the centerline can cause sudden wheel impact, loss of control, or swerving into adjacent lanes. </t>
  </si>
  <si>
    <t xml:space="preserve">Main safety concern is infrastructure-related, posing a high risk. </t>
  </si>
  <si>
    <t>Mixed/0025.jpg</t>
  </si>
  <si>
    <t>severe_traffic_congestion</t>
  </si>
  <si>
    <t>drivers, passengers, motorcyclists</t>
  </si>
  <si>
    <t>Minimal vehicle spacing on wet pavement increases risk of low-speed collisions and side-swipes.</t>
  </si>
  <si>
    <t>vulnerable_users_near_dense_traffic_on_wet_road</t>
  </si>
  <si>
    <t>motorcyclists, pedestrians</t>
  </si>
  <si>
    <t xml:space="preserve">Motorcyclists and pedestrians are close to dense traffic on slick pavement without barriers, increasing collision risk. </t>
  </si>
  <si>
    <t>Elevated safety risk due to high congestion and wet road conditions.</t>
  </si>
  <si>
    <t>Mixed/0026.jpg</t>
  </si>
  <si>
    <t>severely_deteriorated_road_surface</t>
  </si>
  <si>
    <t xml:space="preserve">Multiple deep, water-filled potholes across the travel path can cause loss of control or damage, especially at speed. </t>
  </si>
  <si>
    <t>Significant safety issue for road users due to extensive potholing.</t>
  </si>
  <si>
    <t>Mixed/0027.jpg</t>
  </si>
  <si>
    <t>large pothole in traffic lane</t>
  </si>
  <si>
    <t xml:space="preserve">Water-filled pothole in an active traffic lane can cause loss of control and damage, especially at higher rural speeds. </t>
  </si>
  <si>
    <t>Main safety concern is infrastructure degradation in the wheel path.</t>
  </si>
  <si>
    <t>Mixed/0028.jpg</t>
  </si>
  <si>
    <t xml:space="preserve">Multiple deep, water-filled potholes along the lane edge can cause loss of control, damage, and sudden swerving. </t>
  </si>
  <si>
    <t>Main hazard is infrastructure-related rather than behavioral.</t>
  </si>
  <si>
    <t>Mixed/0029.jpg</t>
  </si>
  <si>
    <t>road_surface_deterioration</t>
  </si>
  <si>
    <t xml:space="preserve">Extensive cracking in the central driving path can reduce stability and affect braking/handling, especially for two-wheelers. </t>
  </si>
  <si>
    <t>Moderate hazard related to maintenance condition.</t>
  </si>
  <si>
    <t>Mixed/0030.jpg</t>
  </si>
  <si>
    <t xml:space="preserve">Major crack and structural failure runs along the travel path, posing a severe risk of loss of control or crash, especially at speed. </t>
  </si>
  <si>
    <t>Road damage is substantial enough to be considered highly hazardous.</t>
  </si>
  <si>
    <t>Mixed/0031.jpg</t>
  </si>
  <si>
    <t>severely_damaged_road_surface</t>
  </si>
  <si>
    <t>drivers, cyclists, motorcyclists</t>
  </si>
  <si>
    <t xml:space="preserve">Extensive cracking and uneven surface increase risk of traction loss, steering disturbance, and damage, especially for two-wheeled vehicles. </t>
  </si>
  <si>
    <t>deteriorated_road_edge</t>
  </si>
  <si>
    <t xml:space="preserve">Crumbling edge reduces usable width and creates a drop-off risk, which can cause loss of control, especially when moving over for oncoming traffic. </t>
  </si>
  <si>
    <t>Road condition poses a potential hazard rather than an immediate one.</t>
  </si>
  <si>
    <t>Mixed/0032.jpg</t>
  </si>
  <si>
    <t>severely_degraded_road_surface</t>
  </si>
  <si>
    <t xml:space="preserve">Large-scale cracking and rough patches across both lanes can destabilize vehicles, increasing crash risk, especially at speed. </t>
  </si>
  <si>
    <t>Structural condition of the pavement poses an ongoing moderate hazard.</t>
  </si>
  <si>
    <t>Mixed/0033.jpg</t>
  </si>
  <si>
    <t>road_surface_damage_potholes</t>
  </si>
  <si>
    <t xml:space="preserve">Multiple deep potholes in the wheel path can cause loss of control, damage, and are especially dangerous for two-wheelers at speed. </t>
  </si>
  <si>
    <t>Significant localized road damage hazard.</t>
  </si>
  <si>
    <t>Mixed/0034.jpg</t>
  </si>
  <si>
    <t>severe_road_surface_failure</t>
  </si>
  <si>
    <t xml:space="preserve">Roadway is heavily cracked and partially collapsed with a major step, making it an imminent, life-threatening hazard if open. </t>
  </si>
  <si>
    <t>Extreme hazard due to structural road failure.</t>
  </si>
  <si>
    <t>Mixed/0035.jpg</t>
  </si>
  <si>
    <t>severely_damaged_roadway</t>
  </si>
  <si>
    <t xml:space="preserve">Road surface is extensively cracked, buckled, and displaced due to structural failure, making it highly unsafe or impassable. </t>
  </si>
  <si>
    <t>coastal_infrastructure_erosion_risk</t>
  </si>
  <si>
    <t>drivers, pedestrians, cyclists, nearby_residents</t>
  </si>
  <si>
    <t xml:space="preserve">Damage suggests ongoing instability due to coastal erosion, with potential for further collapse. </t>
  </si>
  <si>
    <t>Severe danger due to extreme road failure.</t>
  </si>
  <si>
    <t>Mixed/0036.jpg</t>
  </si>
  <si>
    <t>damaged_bike_infrastructure</t>
  </si>
  <si>
    <t>cyclists</t>
  </si>
  <si>
    <t xml:space="preserve">Heavily cracked and degraded bike lane pavement increases fall risk, especially at speed or in wet conditions. </t>
  </si>
  <si>
    <t>Moderate but persistent hazard specifically for cyclists.</t>
  </si>
  <si>
    <t>Mixed/0037.jpg</t>
  </si>
  <si>
    <t>damaged_pavement</t>
  </si>
  <si>
    <t>Narrow but long cracks are a mild trip hazard for pedestrians and early-stage degradation for vehicles.</t>
  </si>
  <si>
    <t>Mild risk due to surface degradation.</t>
  </si>
  <si>
    <t>Mixed/0038.jpg</t>
  </si>
  <si>
    <t>Major crack with subsidence splits the lane; high risk of loss of control or crash for the approaching motorcyclist.</t>
  </si>
  <si>
    <t>Severe safety hazard from extensive cracking and subsidence on an active road segment.</t>
  </si>
  <si>
    <t>Mixed/0039.jpg</t>
  </si>
  <si>
    <t>severely damaged road surface</t>
  </si>
  <si>
    <t xml:space="preserve">Extensive large potholes occupy the travel path, threatening destabilization, damage, and loss of control at high rural speeds. </t>
  </si>
  <si>
    <t xml:space="preserve">Elevated crash risk from severe, unmarked potholes. </t>
  </si>
  <si>
    <t>Mixed/0040.jpg</t>
  </si>
  <si>
    <t>road_surface_damage</t>
  </si>
  <si>
    <t xml:space="preserve">Deep, water-filled pothole can hide its true depth, causing vehicle damage, loss of control for cyclists, or trips. </t>
  </si>
  <si>
    <t>Moderate risk from infrastructure damage.</t>
  </si>
  <si>
    <t>Mixed/0041.jpg</t>
  </si>
  <si>
    <t xml:space="preserve">Large pothole and extensive cracking in the active traffic lane can cause loss of control and damage, especially for two-wheelers. </t>
  </si>
  <si>
    <t>Significant hazard from road surface damage.</t>
  </si>
  <si>
    <t>Mixed/0044.jpg</t>
  </si>
  <si>
    <t>vehicle_off_road_crash</t>
  </si>
  <si>
    <t>drivers, passengers, general_civilians</t>
  </si>
  <si>
    <t>Car crashed into a rocky embankment suggests an unresolved crash with potential for occupant injury and secondary risks.</t>
  </si>
  <si>
    <t>Significant hazard from recent/unresolved crash.</t>
  </si>
  <si>
    <t>Mixed/0045.jpg</t>
  </si>
  <si>
    <t>sun_glare_on_road</t>
  </si>
  <si>
    <t>drivers</t>
  </si>
  <si>
    <t>Intense sun glare directly ahead can impair driver's forward visibility of obstacles or oncoming traffic.</t>
  </si>
  <si>
    <t>Moderate risk due to reduced visibility from sun glare.</t>
  </si>
  <si>
    <t>Mixed/0046.jpg</t>
  </si>
  <si>
    <t>open_manhole_in_crosswalk</t>
  </si>
  <si>
    <t>Missing manhole cover in the middle of a pedestrian crosswalk poses a high trip and fall hazard.</t>
  </si>
  <si>
    <t>The exposed hole in an active pedestrian zone substantially elevates risk.</t>
  </si>
  <si>
    <t>Mixed/0047.jpg</t>
  </si>
  <si>
    <t>trip_slip_hazard</t>
  </si>
  <si>
    <t xml:space="preserve">Wet, slippery surface and a slightly recessed manhole cover create an uneven walking surface, increasing trip/slip risk. </t>
  </si>
  <si>
    <t>Moderate risk for pedestrians in wet weather.</t>
  </si>
  <si>
    <t>Mixed/0050.jpg</t>
  </si>
  <si>
    <t>trip_hazard_from_sculpture_layout</t>
  </si>
  <si>
    <t xml:space="preserve">Protruding statue and partially open manhole cover create unexpected, low-level obstacles on the sidewalk. </t>
  </si>
  <si>
    <t>Mild but real trip hazard in a pedestrian zone.</t>
  </si>
  <si>
    <t>Mixed/0052.jpg</t>
  </si>
  <si>
    <t>large_animal_on_roadway_shoulder</t>
  </si>
  <si>
    <t>drivers, pedestrians</t>
  </si>
  <si>
    <t>Large alligator on road shoulder poses collision risk and animal-attack risk; can cause sudden swerving.</t>
  </si>
  <si>
    <t>Significant safety hazard due to the large reptile on the road shoulder.</t>
  </si>
  <si>
    <t>Mixed/0053.jpg</t>
  </si>
  <si>
    <t>large_wild_animal_on_roadway</t>
  </si>
  <si>
    <t xml:space="preserve">Very large alligator actively crossing the road poses collision and direct physical threat, though officers are present. </t>
  </si>
  <si>
    <t>Significant hazard until the animal clears the roadway.</t>
  </si>
  <si>
    <t>Mixed/0054.png</t>
  </si>
  <si>
    <t>sidewalk obstruction by parked vehicle</t>
  </si>
  <si>
    <t xml:space="preserve">SUV blocks most of the narrow sidewalk, forcing pedestrians to squeeze through a tight gap or step into the street. </t>
  </si>
  <si>
    <t>Moderate safety concern due to pedestrian accessibility and potential conflict with vehicles.</t>
  </si>
  <si>
    <t>Mixed/0055.png</t>
  </si>
  <si>
    <t>sidewalk_obstruction_vehicle</t>
  </si>
  <si>
    <t>pedestrians, wheelchair_users, stroller_users</t>
  </si>
  <si>
    <t xml:space="preserve">Car's rear significantly obstructs sidewalk, forcing a narrow passage and increasing trip/collision risk. </t>
  </si>
  <si>
    <t>sidewalk_obstruction_infrastructure</t>
  </si>
  <si>
    <t>pedestrians, wheelchair_users, stroller_users, visually_impaired_pedestrians</t>
  </si>
  <si>
    <t xml:space="preserve">Utility pole in the middle of the sidewalk creates a tight space, posing an accessibility and collision hazard. </t>
  </si>
  <si>
    <t>combined_clearance_hazard</t>
  </si>
  <si>
    <t xml:space="preserve">The combined effect of the car and pole severely narrows the passage, possibly making it impassable for mobility aids. </t>
  </si>
  <si>
    <t>High safety concern due to compounded sidewalk obstructions.</t>
  </si>
  <si>
    <t>Mixed/0056.png</t>
  </si>
  <si>
    <t>sidewalk obstruction by parked vehicles</t>
  </si>
  <si>
    <t xml:space="preserve">Parked cars encroach on the sidewalk, significantly narrowing the usable space between vehicles and planters. </t>
  </si>
  <si>
    <t>narrow, cluttered pedestrian corridor</t>
  </si>
  <si>
    <t xml:space="preserve">Fixed obstacles (planters, pole) on an already narrow sidewalk reduce maneuvering space and create trip hazards. </t>
  </si>
  <si>
    <t>Moderate risk related to pedestrian accessibility and minor collision/trip hazards.</t>
  </si>
  <si>
    <t>Mixed/0058.png</t>
  </si>
  <si>
    <t>trip_hazard_on_sidewalk</t>
  </si>
  <si>
    <t>Loose cable or hose lying across the walking path is a trip hazard that blends with the pavement.</t>
  </si>
  <si>
    <t xml:space="preserve">Moderate, localized trip hazard risk. </t>
  </si>
  <si>
    <t>Mixed/0059.png</t>
  </si>
  <si>
    <t>sidewalk_obstruction_vegetation</t>
  </si>
  <si>
    <t xml:space="preserve">Overgrown bush substantially blocks sidewalk, forcing pedestrians near the curb/wall and reducing visibility around the curve. </t>
  </si>
  <si>
    <t>Moderate risk: chronic obstruction problematic for accessibility and situational awareness.</t>
  </si>
  <si>
    <t>Mixed/0060.png</t>
  </si>
  <si>
    <t xml:space="preserve">Plant encroaches on walking path, creating a tripping or collision hazard, especially for distracted or visually impaired walkers. </t>
  </si>
  <si>
    <t>Mild to moderate risk due to vegetation blocking part of the sidewalk.</t>
  </si>
  <si>
    <t>Mixed/0061.png</t>
  </si>
  <si>
    <t>fallen_scooter_in_traffic_area</t>
  </si>
  <si>
    <t>Electric scooter lying on its side in the roadway obstructs the driving path and poses a tripping hazard near the curb.</t>
  </si>
  <si>
    <t>Moderate risk from an unexpected obstruction in the traffic area.</t>
  </si>
  <si>
    <t>Mixed/0062.png</t>
  </si>
  <si>
    <t>sidewalk_obstruction_by_debris</t>
  </si>
  <si>
    <t xml:space="preserve">Large boxes and trash on narrow sidewalk significantly reduce walking space, forcing pedestrians to detour toward the street. </t>
  </si>
  <si>
    <t>Moderate concern for pedestrian accessibility and trip risk.</t>
  </si>
  <si>
    <t>Mixed/0063.png</t>
  </si>
  <si>
    <t>sidewalk_obstruction_waste</t>
  </si>
  <si>
    <t xml:space="preserve">Excessive cardboard waste blocks nearly the full sidewalk width, forcing pedestrians toward the roadway, increasing collision and trip risk. </t>
  </si>
  <si>
    <t>litter_environmental_nuisance</t>
  </si>
  <si>
    <t>general_civilians</t>
  </si>
  <si>
    <t xml:space="preserve">Large unmanaged waste pile could scatter, attract pests, and potentially block drains. </t>
  </si>
  <si>
    <t xml:space="preserve">Dominant concern is sidewalk obstruction by waste, posing moderate risk primarily to pedestrians. </t>
  </si>
  <si>
    <t>Mixed/0064.jpg</t>
  </si>
  <si>
    <t>large_wild_animals_on_roadway</t>
  </si>
  <si>
    <t xml:space="preserve">Multiple large bison occupying the snowy road pose a serious collision, injury risk due to large mass and slippery conditions. </t>
  </si>
  <si>
    <t>Elevated collision and injury risk due to large animals on a potentially slippery road.</t>
  </si>
  <si>
    <t>Mixed/0065.jpg</t>
  </si>
  <si>
    <t>drivers, vehicle_occupants, pedestrians</t>
  </si>
  <si>
    <t xml:space="preserve">Large bison standing directly on the traffic lane creates a significant, high-severity collision and personal safety hazard. </t>
  </si>
  <si>
    <t>High-risk traffic and personal safety situation.</t>
  </si>
  <si>
    <t>Mixed/0066.jpg</t>
  </si>
  <si>
    <t>animal_on_roadway</t>
  </si>
  <si>
    <t xml:space="preserve">Snake on the paved road is an unexpected obstacle; drivers may swerve and lose control, and pedestrians risk a bite. </t>
  </si>
  <si>
    <t>Moderate localized hazard.</t>
  </si>
  <si>
    <t>Mixed/0067.jpg</t>
  </si>
  <si>
    <t>animal on roadway</t>
  </si>
  <si>
    <t xml:space="preserve">Snake on the roadway, even if injured/dead, is an abnormal object that could cause a driver to swerve or pose a bite risk if alive. </t>
  </si>
  <si>
    <t>Moderate, localized safety risk.</t>
  </si>
  <si>
    <t>Mixed/0069.png</t>
  </si>
  <si>
    <t>rough_sea_with_beachgoers</t>
  </si>
  <si>
    <t xml:space="preserve">Strong waves and surf near the shore with people on the beach, posing a moderate drowning or knock-down risk if they enter the water. </t>
  </si>
  <si>
    <t>reduced_visibility_haze</t>
  </si>
  <si>
    <t xml:space="preserve">Heavy haze or fog reduces visibility, impairing awareness of waves, people, and vehicles on nearby roads/promenades. </t>
  </si>
  <si>
    <t>Moderate risk due to sea conditions and poor visibility.</t>
  </si>
  <si>
    <t>Mixed/0072.png</t>
  </si>
  <si>
    <t>rough_sea_conditions</t>
  </si>
  <si>
    <t>swimmers, general_civilians</t>
  </si>
  <si>
    <t xml:space="preserve">Rough sea with strong waves indicates potentially hazardous swimming conditions, though the beach is empty. </t>
  </si>
  <si>
    <t>Low potential risk since no one is in the water.</t>
  </si>
  <si>
    <t>Mixed/0074.png</t>
  </si>
  <si>
    <t>Strong surf and rough sea conditions close to the shore are hazardous if people enter the water or walk too close to the surf.</t>
  </si>
  <si>
    <t xml:space="preserve">Risk is potential rather than immediate, but conditions are unsuitable for casual use. </t>
  </si>
  <si>
    <t>Mixed/0076.png</t>
  </si>
  <si>
    <t>lone_person_near_rough_sea</t>
  </si>
  <si>
    <t>Lone person near shoreline with rough sea; risk of being caught by large waves or entering unsafe water.</t>
  </si>
  <si>
    <t>Moderate risk due to sea conditions and proximity of the person to the surf zone.</t>
  </si>
  <si>
    <t>Mixed/0078.jpg</t>
  </si>
  <si>
    <t>intersection right-of-way violation / near-collision</t>
  </si>
  <si>
    <t xml:space="preserve">Crossing car is extremely close despite dashcam's green light, indicating imminent side impact or collision. </t>
  </si>
  <si>
    <t>Clearly hazardous near-crash situation.</t>
  </si>
  <si>
    <t>Mixed/0079.jpg</t>
  </si>
  <si>
    <t>overturned_vehicle_obstructing_roadway</t>
  </si>
  <si>
    <t>drivers, vehicle_occupants</t>
  </si>
  <si>
    <t>Overturned dump truck is blocking both lanes; imminent collision risk for approaching vehicles due to limited reaction time.</t>
  </si>
  <si>
    <t>Extremely high risk from uncontrolled heavy truck obstructing the road.</t>
  </si>
  <si>
    <t>Mixed/0080.jpg</t>
  </si>
  <si>
    <t>cross-traffic vehicle conflict</t>
  </si>
  <si>
    <t xml:space="preserve">Car cutting across the dashcam's trajectory at very close range on an open, unmarked roadway suggests a high side-collision risk. </t>
  </si>
  <si>
    <t xml:space="preserve">Crossing traffic maneuver is hazardous in an open, unmarked area. </t>
  </si>
  <si>
    <t>Mixed/0083.jpg</t>
  </si>
  <si>
    <t>snow_covered_roadway</t>
  </si>
  <si>
    <t xml:space="preserve">Road covered with compacted snow/ice reduces traction and increases braking distance, posing a moderate crash risk with vehicles in motion. </t>
  </si>
  <si>
    <t>reduced_parking_clearance_due_to_snowbanks</t>
  </si>
  <si>
    <t>Parked car hemmed in by snowbanks may impede safe maneuvering and re-entry to the roadway.</t>
  </si>
  <si>
    <t>Moderate risk from slippery road conditions.</t>
  </si>
  <si>
    <t>Mixed/0085.jpg</t>
  </si>
  <si>
    <t>unsafe close proximity between vehicles</t>
  </si>
  <si>
    <t xml:space="preserve">Overtaking/merging car is extremely close on a potentially icy highway, increasing rear-end or side collision risk. </t>
  </si>
  <si>
    <t>High risk due to inadequate spacing during an overtake/merge in winter conditions.</t>
  </si>
  <si>
    <t>Mixed/0086.jpg</t>
  </si>
  <si>
    <t>icy_snow_covered_road</t>
  </si>
  <si>
    <t xml:space="preserve">Road surface is covered with snow and likely ice, substantially increasing stopping distances and the chance of skidding/loss of control. </t>
  </si>
  <si>
    <t>High collision risk due to winter road conditions.</t>
  </si>
  <si>
    <t>Mixed/0087.jpg</t>
  </si>
  <si>
    <t>pedestrians_and_stopped_activity_on_high-speed_rural_road</t>
  </si>
  <si>
    <t xml:space="preserve">Pedestrians are standing close to the traffic lane of a rural road at moderate speed, risking collision. </t>
  </si>
  <si>
    <t>Moderate risk from interaction between moving vehicles and unprotected roadside pedestrians/activities.</t>
  </si>
  <si>
    <t>Mixed/0088.jpg</t>
  </si>
  <si>
    <t>large animal on roadway</t>
  </si>
  <si>
    <t xml:space="preserve">Large elk crossing a slick, wet road in front of nearby vehicles creates a high risk of a severe collision. </t>
  </si>
  <si>
    <t>slippery road surface</t>
  </si>
  <si>
    <t xml:space="preserve">Wet road surface increases braking distance, elevating crash risk in combination with the unexpected obstacle. </t>
  </si>
  <si>
    <t>Significant hazard due to the size of the elk and the road wetness.</t>
  </si>
  <si>
    <t>Mixed/0089.jpg</t>
  </si>
  <si>
    <t>large_animal_in_roadway</t>
  </si>
  <si>
    <t xml:space="preserve">Large elk occupies the roadway immediately ahead of an approaching car on a curve, presenting a high crash risk. </t>
  </si>
  <si>
    <t>High crash risk due to immediate proximity and size of the animal.</t>
  </si>
  <si>
    <t>Mixed/0090.jpg</t>
  </si>
  <si>
    <t>large wildlife on roadway</t>
  </si>
  <si>
    <t>drivers, vehicle occupants, pedestrians</t>
  </si>
  <si>
    <t>Elk in the middle of a traffic lane among stopped cars is an unpredictable animal and collision risk.</t>
  </si>
  <si>
    <t>pedestrians in close proximity to large wild animal</t>
  </si>
  <si>
    <t xml:space="preserve">People are standing very close to the elk with limited escape options, creating high potential for serious injury from a charge/reaction. </t>
  </si>
  <si>
    <t>stopped vehicles and pedestrians mixing on roadway</t>
  </si>
  <si>
    <t>Stopped queue and people on the road create distraction and moderate risk of rear-end or pedestrian collisions.</t>
  </si>
  <si>
    <t xml:space="preserve">Significant safety hazards due to mixed traffic, people, and a large wild animal. </t>
  </si>
  <si>
    <t>Mixed/0091.jpg</t>
  </si>
  <si>
    <t>road_surface_debris</t>
  </si>
  <si>
    <t xml:space="preserve">Scattered litter and small debris on the dirt road could cause slips, trips, or minor loss of control. </t>
  </si>
  <si>
    <t>Low-to-moderate risk from minor road cleanliness and surface quality issues.</t>
  </si>
  <si>
    <t>Mixed/0092.jpg</t>
  </si>
  <si>
    <t>large_animal_on_roadway</t>
  </si>
  <si>
    <t>Large moose crossing directly in front of approaching vehicle creates high collision risk on a curve.</t>
  </si>
  <si>
    <t>High collision risk due to large animal on road.</t>
  </si>
  <si>
    <t>Mixed/0093.png</t>
  </si>
  <si>
    <t>trip_hazard_opening</t>
  </si>
  <si>
    <t xml:space="preserve">Open tree pit in the sidewalk with no barrier is a potential misstep or trip hazard, especially for visually/mobility impaired persons. </t>
  </si>
  <si>
    <t>uneven_edge_surface</t>
  </si>
  <si>
    <t>Irregular transition from paved sidewalk to rough ground may cause minor slips or ankle twists.</t>
  </si>
  <si>
    <t>Moderate risk from sidewalk defects.</t>
  </si>
  <si>
    <t>Mixed/0094.png</t>
  </si>
  <si>
    <t>uneven_damaged_sidewalk_surface</t>
  </si>
  <si>
    <t xml:space="preserve">Cracked and uneven patching around manhole covers creates level differences, increasing the chance of trips or missteps. </t>
  </si>
  <si>
    <t>Moderate risk from localized sidewalk defects.</t>
  </si>
  <si>
    <t>Mixed/0096.png</t>
  </si>
  <si>
    <t xml:space="preserve">Stacked cinder blocks and pole partially obstruct the sidewalk, narrowing the path and creating an unexpected obstacle. </t>
  </si>
  <si>
    <t>trip_or_fall_hazard</t>
  </si>
  <si>
    <t xml:space="preserve">Sharp, unprotected edge between higher concrete platform and lower sidewalk poses a trip or minor fall risk. </t>
  </si>
  <si>
    <t>Moderate risk: minor obstructions and fall hazards.</t>
  </si>
  <si>
    <t>Mixed/0098.png</t>
  </si>
  <si>
    <t>sidewalk_obstruction_and_surface_hazard</t>
  </si>
  <si>
    <t xml:space="preserve">Construction debris and pole on the sidewalk create an uneven, narrowed passage near the crosswalk, risking trips. </t>
  </si>
  <si>
    <t xml:space="preserve">Moderate, localized pedestrian trip hazard. </t>
  </si>
  <si>
    <t>Mixed/0099.png</t>
  </si>
  <si>
    <t>trip_hazard_on_sidewalk_near_crosswalk</t>
  </si>
  <si>
    <t xml:space="preserve">Damaged, uneven ground at a pole base near the crosswalk transition risks trips and potential fall into the roadway. </t>
  </si>
  <si>
    <t>Moderate hazard from the infrastructure defect near the street crossing.</t>
  </si>
  <si>
    <t>Mixed/0100.png</t>
  </si>
  <si>
    <t>damaged_sidewalk_and_pole_base</t>
  </si>
  <si>
    <t>Broken and raised paving stones around the pole base create a moderate tripping and falling hazard where pedestrians pass.</t>
  </si>
  <si>
    <t>Moderate pedestrian trip hazard.</t>
  </si>
  <si>
    <t>Mixed/0103.jpg</t>
  </si>
  <si>
    <t>stopped_vehicle_in_traffic_lane</t>
  </si>
  <si>
    <t xml:space="preserve">Auto-rickshaw stopped in the lane partially obstructs the carriageway, forcing other traffic to maneuver around it. </t>
  </si>
  <si>
    <t>pedestrian_activity_in_roadway_margin</t>
  </si>
  <si>
    <t>pedestrians, cyclists, motorcyclists</t>
  </si>
  <si>
    <t>People sitting at a cart directly adjacent to the traffic lane with little protection risk side-swipe incidents.</t>
  </si>
  <si>
    <t>Moderate risks from mixed street use and minor obstructions.</t>
  </si>
  <si>
    <t>Mixed/0104.jpg</t>
  </si>
  <si>
    <t>mixed_traffic_with_pedestrians_and_animals</t>
  </si>
  <si>
    <t>Vehicles and a horse cart moving through a dense pedestrian crowd with a child in the roadway creates high collision/trampling risk.</t>
  </si>
  <si>
    <t>overhead_cable_and_tarp_hazard</t>
  </si>
  <si>
    <t>Sagging tarps near a dense web of disorganized utility cables increase the risk of mechanical/electrical failure or falling objects.</t>
  </si>
  <si>
    <t>Significant collision and trampling risk due to extreme crowding and mixed traffic.</t>
  </si>
  <si>
    <t>Mixed/0105.jpg</t>
  </si>
  <si>
    <t>animal_in_roadway</t>
  </si>
  <si>
    <t>Cow on or near the narrow roadway can cause collisions or force sudden maneuvers if traffic appears.</t>
  </si>
  <si>
    <t>obstruction_and_potential_hazardous_cylinder</t>
  </si>
  <si>
    <t xml:space="preserve">Gas cylinder and bicycle slightly encroach into the narrow travel path, posing an impact hazard. </t>
  </si>
  <si>
    <t>Low-to-moderate risk given the current absence of traffic.</t>
  </si>
  <si>
    <t>Mixed/0106.jpg</t>
  </si>
  <si>
    <t>animals_in_traffic_lane</t>
  </si>
  <si>
    <t xml:space="preserve">Cows lying in the middle of a narrow lane force motorcycles to maneuver closely, increasing collision risk. </t>
  </si>
  <si>
    <t>slip_contamination_on_road</t>
  </si>
  <si>
    <t>Animal droppings in the motorcycle path can reduce traction for two-wheelers and pose a slip hazard for pedestrians.</t>
  </si>
  <si>
    <t xml:space="preserve">Moderate safety risk due to animal obstruction in a narrow, active traffic area. </t>
  </si>
  <si>
    <t>Mixed/0107.jpg</t>
  </si>
  <si>
    <t>urban_flooding</t>
  </si>
  <si>
    <t>pedestrians, drivers, cyclists, general_civilians</t>
  </si>
  <si>
    <t xml:space="preserve">Severe flooding submerges the roadway, hiding hazards like manholes, debris, or uneven surfaces, risking stall or overturn. </t>
  </si>
  <si>
    <t>pedestrian_in_deep_water_with_vehicle</t>
  </si>
  <si>
    <t>pedestrians, cyclists</t>
  </si>
  <si>
    <t>Man pushing loaded rickshaw in knee-deep water is unstable; risk of falling into contaminated water or hidden hole.</t>
  </si>
  <si>
    <t>Clear evidence of extensive street flooding and associated severe safety risks.</t>
  </si>
  <si>
    <t xml:space="preserve">Correct = 1 Incorrect = 0 </t>
  </si>
  <si>
    <t>Agree=1 Disagree=0</t>
  </si>
  <si>
    <t>Reasoning quality 1-10 &amp; non-hallucinatory</t>
  </si>
  <si>
    <t>Numerical Levels</t>
  </si>
  <si>
    <t>Meaning</t>
  </si>
  <si>
    <t>Low Risk</t>
  </si>
  <si>
    <t>1–3</t>
  </si>
  <si>
    <t>No meaningful threat; safe environment.</t>
  </si>
  <si>
    <t>Moderate Risk</t>
  </si>
  <si>
    <t>4–6</t>
  </si>
  <si>
    <t>Situation could escalate; requires attention.</t>
  </si>
  <si>
    <t>High Risk</t>
  </si>
  <si>
    <t>7–8</t>
  </si>
  <si>
    <t>Strong danger indicators; likely collision path.</t>
  </si>
  <si>
    <t>Critical</t>
  </si>
  <si>
    <t>9–10</t>
  </si>
  <si>
    <t>Imminent or active collision.</t>
  </si>
  <si>
    <t>Bucket</t>
  </si>
  <si>
    <t>Risk Level</t>
  </si>
  <si>
    <t>Name / Category</t>
  </si>
  <si>
    <t>Meaning (Human-Level Interpretation)</t>
  </si>
  <si>
    <t>Typical Visual Cues</t>
  </si>
  <si>
    <t>Example Situations</t>
  </si>
  <si>
    <t>Minimal</t>
  </si>
  <si>
    <t>No meaningful safety threat. Fully controlled, predictable environment.</t>
  </si>
  <si>
    <t>Empty road, wide margins, controlled traffic, no anomalies.</t>
  </si>
  <si>
    <t>Parked vehicles, pedestrian far on sidewalk, stable driving.</t>
  </si>
  <si>
    <t>Very Low</t>
  </si>
  <si>
    <t>Slightly increased complexity but still safe.</t>
  </si>
  <si>
    <t>Minor occlusion, light congestion, low-speed scenario.</t>
  </si>
  <si>
    <t>Car ahead slowing gently, pedestrian standing far from curb.</t>
  </si>
  <si>
    <t>Low</t>
  </si>
  <si>
    <t>Mild risk; situation requires awareness but not intervention.</t>
  </si>
  <si>
    <t>Moderate traffic, small dynamic elements, mild occlusion.</t>
  </si>
  <si>
    <t>Pedestrian approaching curb but still waiting; car changing lanes properly.</t>
  </si>
  <si>
    <t>Mild / Emerging Risk</t>
  </si>
  <si>
    <t>Potential for danger exists; a safety-relevant event could develop.</t>
  </si>
  <si>
    <t>Uncertain behavior, mild violations, trajectory conflicts beginning.</t>
  </si>
  <si>
    <t>Pedestrian stepping off curb slowly; vehicle edging toward lane boundary.</t>
  </si>
  <si>
    <t>Moderate</t>
  </si>
  <si>
    <t>Clear anomalous behavior that could escalate without attention.</t>
  </si>
  <si>
    <t>Incomplete stops, close distances, ambiguous motions.</t>
  </si>
  <si>
    <t>A vehicle partially crossing lane; cyclist approaching vehicle blind spot.</t>
  </si>
  <si>
    <t>Elevated</t>
  </si>
  <si>
    <t>Noticeably dangerous behavior; intervention or caution is now required.</t>
  </si>
  <si>
    <t>High relative speed, obstructed views, close proximity conflicts.</t>
  </si>
  <si>
    <t>Car overtaking closely, pedestrian mid-road without priority.</t>
  </si>
  <si>
    <t>High</t>
  </si>
  <si>
    <t>Strong indicators of a hazardous event. High probability of collision if behavior persists.</t>
  </si>
  <si>
    <t>Wrong-way motion, sudden braking, sharp swerves, near misses.</t>
  </si>
  <si>
    <t>Car entering opposite lane, pedestrian running across traffic.</t>
  </si>
  <si>
    <t>Very High</t>
  </si>
  <si>
    <t>Danger is imminent. Human reaction time becomes critical.</t>
  </si>
  <si>
    <t>Abrupt trajectory conflicts, physical instability, loss of control.</t>
  </si>
  <si>
    <t>Skidding car, pedestrian in direct path, uncontrolled intersection behavior.</t>
  </si>
  <si>
    <t>Severe</t>
  </si>
  <si>
    <t>Collision highly likely. Extremely dangerous situation requiring immediate avoidance.</t>
  </si>
  <si>
    <t>Violent motion, clear crash trajectory, multi-agent dynamic conflict.</t>
  </si>
  <si>
    <t>Two vehicles converging at high speed, imminent side-impact.</t>
  </si>
  <si>
    <t>Critical / Collision</t>
  </si>
  <si>
    <t>Crash occurring or unavoidable. Catastrophic risk.</t>
  </si>
  <si>
    <t>Direct impact, rollover, major hazard striking agents.</t>
  </si>
  <si>
    <t>Actual collision frame, vehicle spinning into pedestrian, direct impact moment.</t>
  </si>
  <si>
    <t>Explain why if not agree</t>
  </si>
  <si>
    <t>The blocking objects are at the edge of the sidewalk</t>
  </si>
  <si>
    <t xml:space="preserve">It's night but the lighting is good </t>
  </si>
  <si>
    <t xml:space="preserve">Non-anomaly images detected correctly </t>
  </si>
  <si>
    <t>image 0004</t>
  </si>
  <si>
    <t>image 0005</t>
  </si>
  <si>
    <t>The hole does not pose such high risk</t>
  </si>
  <si>
    <t xml:space="preserve">over estimation of sevirity </t>
  </si>
  <si>
    <t>image 0042</t>
  </si>
  <si>
    <t>image 0043</t>
  </si>
  <si>
    <t xml:space="preserve">Non-anomaly images  detected as anomaly </t>
  </si>
  <si>
    <t>Image 0044</t>
  </si>
  <si>
    <t>risk=7</t>
  </si>
  <si>
    <t>hallucinatory output, may be due to blurred car</t>
  </si>
  <si>
    <t>Image 0046</t>
  </si>
  <si>
    <t>risk=8</t>
  </si>
  <si>
    <t>Cover is not missing, but designed with holes (normal)</t>
  </si>
  <si>
    <t>image 0048</t>
  </si>
  <si>
    <t>image 0049</t>
  </si>
  <si>
    <t>image 0051</t>
  </si>
  <si>
    <t>image 0057</t>
  </si>
  <si>
    <t xml:space="preserve">Imagin shadow as a cable </t>
  </si>
  <si>
    <t xml:space="preserve">The sidewalk is large enough </t>
  </si>
  <si>
    <t>image 0081</t>
  </si>
  <si>
    <t>image 0082</t>
  </si>
  <si>
    <t>image 0084</t>
  </si>
  <si>
    <t>Image 0091</t>
  </si>
  <si>
    <t>risk=3</t>
  </si>
  <si>
    <t xml:space="preserve">Text covers the anomaly </t>
  </si>
  <si>
    <t>image 0094</t>
  </si>
  <si>
    <t>risk=5</t>
  </si>
  <si>
    <t>image 0095</t>
  </si>
  <si>
    <t xml:space="preserve">The hight of the patch is decent </t>
  </si>
  <si>
    <t>The clocks aren’t narrowing the path</t>
  </si>
  <si>
    <t>image 0096</t>
  </si>
  <si>
    <t>image 0097</t>
  </si>
  <si>
    <t>image 0100</t>
  </si>
  <si>
    <t>image 0101</t>
  </si>
  <si>
    <t>image 0108</t>
  </si>
  <si>
    <t>image 0109</t>
  </si>
  <si>
    <t>image 0110</t>
  </si>
  <si>
    <t>image 0121</t>
  </si>
  <si>
    <t>image 0068</t>
  </si>
  <si>
    <t>image 0070</t>
  </si>
  <si>
    <t>image 0071</t>
  </si>
  <si>
    <t>image 0073</t>
  </si>
  <si>
    <t xml:space="preserve">Anomaly images  detected as non-anomaly </t>
  </si>
  <si>
    <t>Image 0075</t>
  </si>
  <si>
    <t>est. risk</t>
  </si>
  <si>
    <t>Can't find the person</t>
  </si>
  <si>
    <t>count</t>
  </si>
  <si>
    <t>average</t>
  </si>
  <si>
    <t>sum TP</t>
  </si>
  <si>
    <t>count-sum=FP</t>
  </si>
  <si>
    <t>Count</t>
  </si>
  <si>
    <t xml:space="preserve">Distribution </t>
  </si>
  <si>
    <t>Reasoning score</t>
  </si>
  <si>
    <t>count TP</t>
  </si>
  <si>
    <t>FP</t>
  </si>
  <si>
    <t xml:space="preserve">FN </t>
  </si>
  <si>
    <t>sum (TP)</t>
  </si>
  <si>
    <t>Count-sum (FN)</t>
  </si>
  <si>
    <t>FN</t>
  </si>
  <si>
    <t>All samples</t>
  </si>
  <si>
    <t>Positive</t>
  </si>
  <si>
    <t>Negative</t>
  </si>
  <si>
    <t>TN</t>
  </si>
  <si>
    <t>count TN</t>
  </si>
  <si>
    <t>risk=4</t>
  </si>
  <si>
    <t>image 0058</t>
  </si>
  <si>
    <t>risk = 5</t>
  </si>
  <si>
    <t xml:space="preserve">Specificity </t>
  </si>
  <si>
    <t xml:space="preserve">Accuracy </t>
  </si>
  <si>
    <t xml:space="preserve">Presicion </t>
  </si>
  <si>
    <t>Recall</t>
  </si>
  <si>
    <t>F1 Score</t>
  </si>
  <si>
    <t>Total anomalies</t>
  </si>
  <si>
    <t>Correctly scored</t>
  </si>
  <si>
    <t>Incorrectly scored</t>
  </si>
  <si>
    <t>Anomaly score</t>
  </si>
  <si>
    <t>Number of anomalies detected</t>
  </si>
  <si>
    <t>Incorrect risk target attribution</t>
  </si>
  <si>
    <t>Correct risk target attribution</t>
  </si>
  <si>
    <t>median</t>
  </si>
  <si>
    <t>Score</t>
  </si>
  <si>
    <t>Label</t>
  </si>
  <si>
    <t>Reasoning Accuracy Description (Urban/Suburban Risk Evaluation)</t>
  </si>
  <si>
    <t>Fully accurate</t>
  </si>
  <si>
    <t>All objects are visible and correctly identified; anomalies are real, relevant, and well-grounded in the image; risk scores are proportional and explicitly justified with no speculation.</t>
  </si>
  <si>
    <t>Near-perfect</t>
  </si>
  <si>
    <t>Correct scene and objects; no false positives; minor omissions or imprecise phrasing; risk reasoning is sound and does not affect conclusions.</t>
  </si>
  <si>
    <t>Mostly correct</t>
  </si>
  <si>
    <t>Core scene understanding is correct; minor speculative assumption (e.g., inferred motion or intent); slight risk over/under-estimation but directionally correct.</t>
  </si>
  <si>
    <t>Correct scene, weak anomaly logic</t>
  </si>
  <si>
    <t>Scene and objects are correct; anomaly identification is debatable or weakly justified; risk score plausible but not tightly linked to visible evidence.</t>
  </si>
  <si>
    <t>Mixed accuracy</t>
  </si>
  <si>
    <t>Scene mostly correct; some objects missed or one incorrect object added; anomaly mischaracterized; risk loosely connected to visual evidence—usable with caution.</t>
  </si>
  <si>
    <t>Ambiguous but grounded</t>
  </si>
  <si>
    <t>Partial and incomplete scene description; anomaly vague or generic; risk score appears template-driven; no explicit hallucination but weak evidential grounding.</t>
  </si>
  <si>
    <t>Early hallucination</t>
  </si>
  <si>
    <t>Scene type may be misclassified (road vs. sidewalk); at least one non-visible object introduced; anomaly inferred without visual support; risk based on assumptions.</t>
  </si>
  <si>
    <t>Partial hallucination</t>
  </si>
  <si>
    <t>Mix of real and invented objects; core anomaly does not exist; risk justification contradicts the image despite internally coherent reasoning.</t>
  </si>
  <si>
    <t>Strong hallucination</t>
  </si>
  <si>
    <t>Fundamental misunderstanding of the scene; multiple invented objects or events; risk assessment largely meaningless relative to the image.</t>
  </si>
  <si>
    <t>Total hallucination</t>
  </si>
  <si>
    <t>Description unrelated to the scene; fabricated context, objects, and risks; no usable signal for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</si>
</sst>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7"/>
      <color rgb="FF424242"/>
      <name val="Segoe UI"/>
      <family val="2"/>
    </font>
    <font>
      <sz val="8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1" fillId="2" borderId="0" xfId="0" applyFont="1" applyFill="1"/>
    <xf numFmtId="2" fontId="0" fillId="0" borderId="0" xfId="0" applyNumberFormat="1"/>
    <xf numFmtId="0" fontId="7" fillId="0" borderId="0" xfId="0" applyFont="1" applyAlignment="1">
      <alignment horizontal="left" vertical="center" wrapText="1"/>
    </xf>
    <xf numFmtId="0" fontId="1" fillId="3" borderId="0" xfId="0" applyFont="1" applyFill="1"/>
    <xf numFmtId="164" fontId="1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9" fillId="0" borderId="1" xfId="0" applyFont="1" applyBorder="1"/>
    <xf numFmtId="0" fontId="11" fillId="0" borderId="0" xfId="0" applyFont="1"/>
    <xf numFmtId="0" fontId="9" fillId="0" borderId="2" xfId="0" applyFont="1" applyBorder="1"/>
    <xf numFmtId="165" fontId="10" fillId="0" borderId="3" xfId="0" applyNumberFormat="1" applyFont="1" applyBorder="1"/>
    <xf numFmtId="0" fontId="9" fillId="0" borderId="4" xfId="0" applyFont="1" applyBorder="1"/>
    <xf numFmtId="165" fontId="10" fillId="0" borderId="5" xfId="0" applyNumberFormat="1" applyFont="1" applyBorder="1"/>
    <xf numFmtId="0" fontId="9" fillId="0" borderId="6" xfId="0" applyFont="1" applyBorder="1"/>
    <xf numFmtId="165" fontId="10" fillId="0" borderId="7" xfId="0" applyNumberFormat="1" applyFont="1" applyBorder="1"/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Score distribution for reasoning 1-10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'Anomaly score'!$L$1</c:f>
              <c:strCache>
                <c:ptCount val="1"/>
                <c:pt idx="0">
                  <c:v>Distribution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'Anomaly score'!$K$2:$K$11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'Anomaly score'!$L$2:$L$11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9-4F4E-93B6-905E15D8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937408"/>
        <c:axId val="1241936448"/>
      </c:barChart>
      <c:catAx>
        <c:axId val="124193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Reasoning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1936448"/>
        <c:crosses val="autoZero"/>
        <c:auto val="1"/>
        <c:lblAlgn val="ctr"/>
        <c:lblOffset val="100"/>
        <c:noMultiLvlLbl val="0"/>
      </c:catAx>
      <c:valAx>
        <c:axId val="12419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 distribution (incidence)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193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Risk target attribution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E9-4354-81C7-326ACFA8E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CE-43E1-AC4E-FBC6825561C4}"/>
              </c:ext>
            </c:extLst>
          </c:dPt>
          <c:dLbls>
            <c:dLbl>
              <c:idx val="1"/>
              <c:layout>
                <c:manualLayout>
                  <c:x val="4.9718946075946518E-3"/>
                  <c:y val="2.636404165954351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CE-43E1-AC4E-FBC6825561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'Anomaly score'!$E$202:$E$203</c:f>
              <c:strCache>
                <c:ptCount val="2"/>
                <c:pt idx="0">
                  <c:v>Correct risk target attribution</c:v>
                </c:pt>
                <c:pt idx="1">
                  <c:v>Incorrect risk target attribution</c:v>
                </c:pt>
              </c:strCache>
            </c:strRef>
          </c:cat>
          <c:val>
            <c:numRef>
              <c:f>'Anomaly score'!$F$202:$F$203</c:f>
              <c:numCache>
                <c:formatCode>0%</c:formatCode>
                <c:ptCount val="2"/>
                <c:pt idx="0">
                  <c:v>0.96363636363636362</c:v>
                </c:pt>
                <c:pt idx="1">
                  <c:v>3.6363636363636376E-2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E-43E1-AC4E-FBC682556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316644794400701"/>
          <c:y val="0.81041885389326329"/>
          <c:w val="0.46588932633420821"/>
          <c:h val="0.16180336832895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Anomalies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Analysis!$Y$1</c:f>
              <c:strCache>
                <c:ptCount val="1"/>
                <c:pt idx="0">
                  <c:v>Number of anomalies detected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Analysis!$X$2:$X$11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Analysis!$Y$2:$Y$11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16</c:v>
                </c:pt>
                <c:pt idx="4">
                  <c:v>18</c:v>
                </c:pt>
                <c:pt idx="5">
                  <c:v>22</c:v>
                </c:pt>
                <c:pt idx="6">
                  <c:v>19</c:v>
                </c:pt>
                <c:pt idx="7">
                  <c:v>19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6-4898-AF37-1625799D4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276671"/>
        <c:axId val="1263273311"/>
      </c:barChart>
      <c:catAx>
        <c:axId val="126327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Anomaly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3273311"/>
        <c:crosses val="autoZero"/>
        <c:auto val="1"/>
        <c:lblAlgn val="ctr"/>
        <c:lblOffset val="100"/>
        <c:noMultiLvlLbl val="0"/>
      </c:catAx>
      <c:valAx>
        <c:axId val="126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Number of anomalies detected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327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2881746</xdr:colOff>
      <xdr:row>14</xdr:row>
      <xdr:rowOff>69273</xdr:rowOff>
    </xdr:from>
    <xdr:to>
      <xdr:col>16</xdr:col>
      <xdr:colOff>374073</xdr:colOff>
      <xdr:row>70</xdr:row>
      <xdr:rowOff>110836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797F3-44E7-BAC4-23B6-3C651A58D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182</xdr:row>
      <xdr:rowOff>80010</xdr:rowOff>
    </xdr:from>
    <xdr:to>
      <xdr:col>7</xdr:col>
      <xdr:colOff>2388870</xdr:colOff>
      <xdr:row>204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AB85B-A42C-AD83-2F1B-DDC04E19E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575854</xdr:colOff>
      <xdr:row>14</xdr:row>
      <xdr:rowOff>155406</xdr:rowOff>
    </xdr:from>
    <xdr:to>
      <xdr:col>17</xdr:col>
      <xdr:colOff>492033</xdr:colOff>
      <xdr:row>30</xdr:row>
      <xdr:rowOff>30480</xdr:rowOff>
    </xdr:to>
    <xdr:pic>
      <xdr:nvPicPr>
        <xdr:cNvPr id="2" name="Picture 1" descr="What is a Confusion Matrix? | Machine Learning Glossary | Encord | Encord">
          <a:extLst>
            <a:ext uri="{FF2B5EF4-FFF2-40B4-BE49-F238E27FC236}">
              <a16:creationId xmlns:a16="http://schemas.microsoft.com/office/drawing/2014/main" id="{739CB1F6-2B60-65E0-0FEC-0A3AA321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9140" y="2735320"/>
          <a:ext cx="4542608" cy="2487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402771</xdr:colOff>
      <xdr:row>14</xdr:row>
      <xdr:rowOff>27759</xdr:rowOff>
    </xdr:from>
    <xdr:to>
      <xdr:col>29</xdr:col>
      <xdr:colOff>395151</xdr:colOff>
      <xdr:row>34</xdr:row>
      <xdr:rowOff>23948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329F0E-6733-A8E6-17ED-A2F1F1A2A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0FA8-A72C-4E09-A866-9AFF0CDBDC99}">
  <dimension ref="A2:C6"/>
  <sheetViews>
    <sheetView tabSelected="1" workbookViewId="0">
      <selection activeCell="A2" sqref="A2:C6"/>
    </sheetView>
  </sheetViews>
  <sheetFormatPr defaultRowHeight="13.2" x14ac:dyDescent="0.25"/>
  <cols>
    <col min="1" max="1" width="16.109375" customWidth="1"/>
    <col min="2" max="2" width="17.21875" customWidth="1"/>
    <col min="3" max="3" width="41.44140625" customWidth="1"/>
  </cols>
  <sheetData>
    <row r="2" spans="1:3" x14ac:dyDescent="0.25">
      <c r="A2" s="4" t="s">
        <v>437</v>
      </c>
      <c r="B2" s="4" t="s">
        <v>423</v>
      </c>
      <c r="C2" s="4" t="s">
        <v>424</v>
      </c>
    </row>
    <row r="3" spans="1:3" x14ac:dyDescent="0.25">
      <c r="A3" s="5" t="s">
        <v>425</v>
      </c>
      <c r="B3" s="7" t="s">
        <v>426</v>
      </c>
      <c r="C3" s="6" t="s">
        <v>427</v>
      </c>
    </row>
    <row r="4" spans="1:3" x14ac:dyDescent="0.25">
      <c r="A4" s="5" t="s">
        <v>428</v>
      </c>
      <c r="B4" s="7" t="s">
        <v>429</v>
      </c>
      <c r="C4" s="6" t="s">
        <v>430</v>
      </c>
    </row>
    <row r="5" spans="1:3" x14ac:dyDescent="0.25">
      <c r="A5" s="5" t="s">
        <v>431</v>
      </c>
      <c r="B5" s="7" t="s">
        <v>432</v>
      </c>
      <c r="C5" s="6" t="s">
        <v>433</v>
      </c>
    </row>
    <row r="6" spans="1:3" x14ac:dyDescent="0.25">
      <c r="A6" s="5" t="s">
        <v>434</v>
      </c>
      <c r="B6" s="7" t="s">
        <v>435</v>
      </c>
      <c r="C6" s="6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AF4F-EF95-4925-B063-1574BC2CE392}">
  <dimension ref="A2:E12"/>
  <sheetViews>
    <sheetView workbookViewId="0">
      <selection activeCell="E12" sqref="A2:E12"/>
    </sheetView>
  </sheetViews>
  <sheetFormatPr defaultRowHeight="13.2" x14ac:dyDescent="0.25"/>
  <cols>
    <col min="1" max="2" width="22.5546875" customWidth="1"/>
    <col min="3" max="5" width="36.6640625" customWidth="1"/>
    <col min="6" max="14" width="26.21875" customWidth="1"/>
  </cols>
  <sheetData>
    <row r="2" spans="1:5" x14ac:dyDescent="0.25">
      <c r="A2" s="4" t="s">
        <v>438</v>
      </c>
      <c r="B2" s="4" t="s">
        <v>439</v>
      </c>
      <c r="C2" s="4" t="s">
        <v>440</v>
      </c>
      <c r="D2" s="4" t="s">
        <v>441</v>
      </c>
      <c r="E2" s="4" t="s">
        <v>442</v>
      </c>
    </row>
    <row r="3" spans="1:5" ht="26.4" x14ac:dyDescent="0.25">
      <c r="A3" s="4">
        <v>1</v>
      </c>
      <c r="B3" s="6" t="s">
        <v>443</v>
      </c>
      <c r="C3" s="6" t="s">
        <v>444</v>
      </c>
      <c r="D3" s="6" t="s">
        <v>445</v>
      </c>
      <c r="E3" s="6" t="s">
        <v>446</v>
      </c>
    </row>
    <row r="4" spans="1:5" ht="26.4" x14ac:dyDescent="0.25">
      <c r="A4" s="4">
        <v>2</v>
      </c>
      <c r="B4" s="6" t="s">
        <v>447</v>
      </c>
      <c r="C4" s="6" t="s">
        <v>448</v>
      </c>
      <c r="D4" s="6" t="s">
        <v>449</v>
      </c>
      <c r="E4" s="6" t="s">
        <v>450</v>
      </c>
    </row>
    <row r="5" spans="1:5" ht="26.4" x14ac:dyDescent="0.25">
      <c r="A5" s="4">
        <v>3</v>
      </c>
      <c r="B5" s="6" t="s">
        <v>451</v>
      </c>
      <c r="C5" s="6" t="s">
        <v>452</v>
      </c>
      <c r="D5" s="6" t="s">
        <v>453</v>
      </c>
      <c r="E5" s="6" t="s">
        <v>454</v>
      </c>
    </row>
    <row r="6" spans="1:5" ht="26.4" x14ac:dyDescent="0.25">
      <c r="A6" s="4">
        <v>4</v>
      </c>
      <c r="B6" s="6" t="s">
        <v>455</v>
      </c>
      <c r="C6" s="6" t="s">
        <v>456</v>
      </c>
      <c r="D6" s="6" t="s">
        <v>457</v>
      </c>
      <c r="E6" s="6" t="s">
        <v>458</v>
      </c>
    </row>
    <row r="7" spans="1:5" ht="26.4" x14ac:dyDescent="0.25">
      <c r="A7" s="4">
        <v>5</v>
      </c>
      <c r="B7" s="6" t="s">
        <v>459</v>
      </c>
      <c r="C7" s="6" t="s">
        <v>460</v>
      </c>
      <c r="D7" s="6" t="s">
        <v>461</v>
      </c>
      <c r="E7" s="6" t="s">
        <v>462</v>
      </c>
    </row>
    <row r="8" spans="1:5" ht="26.4" x14ac:dyDescent="0.25">
      <c r="A8" s="4">
        <v>6</v>
      </c>
      <c r="B8" s="6" t="s">
        <v>463</v>
      </c>
      <c r="C8" s="6" t="s">
        <v>464</v>
      </c>
      <c r="D8" s="6" t="s">
        <v>465</v>
      </c>
      <c r="E8" s="6" t="s">
        <v>466</v>
      </c>
    </row>
    <row r="9" spans="1:5" ht="39.6" x14ac:dyDescent="0.25">
      <c r="A9" s="4">
        <v>7</v>
      </c>
      <c r="B9" s="6" t="s">
        <v>467</v>
      </c>
      <c r="C9" s="6" t="s">
        <v>468</v>
      </c>
      <c r="D9" s="6" t="s">
        <v>469</v>
      </c>
      <c r="E9" s="6" t="s">
        <v>470</v>
      </c>
    </row>
    <row r="10" spans="1:5" ht="26.4" x14ac:dyDescent="0.25">
      <c r="A10" s="4">
        <v>8</v>
      </c>
      <c r="B10" s="6" t="s">
        <v>471</v>
      </c>
      <c r="C10" s="6" t="s">
        <v>472</v>
      </c>
      <c r="D10" s="6" t="s">
        <v>473</v>
      </c>
      <c r="E10" s="6" t="s">
        <v>474</v>
      </c>
    </row>
    <row r="11" spans="1:5" ht="26.4" x14ac:dyDescent="0.25">
      <c r="A11" s="4">
        <v>9</v>
      </c>
      <c r="B11" s="6" t="s">
        <v>475</v>
      </c>
      <c r="C11" s="6" t="s">
        <v>476</v>
      </c>
      <c r="D11" s="6" t="s">
        <v>477</v>
      </c>
      <c r="E11" s="6" t="s">
        <v>478</v>
      </c>
    </row>
    <row r="12" spans="1:5" ht="26.4" x14ac:dyDescent="0.25">
      <c r="A12" s="4">
        <v>10</v>
      </c>
      <c r="B12" s="6" t="s">
        <v>479</v>
      </c>
      <c r="C12" s="6" t="s">
        <v>480</v>
      </c>
      <c r="D12" s="6" t="s">
        <v>481</v>
      </c>
      <c r="E12" s="6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73E9-08FC-4590-931E-89D043CB0A4C}">
  <dimension ref="C3:E13"/>
  <sheetViews>
    <sheetView topLeftCell="A4" workbookViewId="0">
      <selection activeCell="C3" sqref="C3:E13"/>
    </sheetView>
  </sheetViews>
  <sheetFormatPr defaultRowHeight="13.2" x14ac:dyDescent="0.25"/>
  <cols>
    <col min="3" max="3" width="9.5546875" style="27" customWidth="1"/>
    <col min="4" max="4" width="35.44140625" customWidth="1"/>
    <col min="5" max="5" width="82.44140625" customWidth="1"/>
  </cols>
  <sheetData>
    <row r="3" spans="3:5" ht="15.6" x14ac:dyDescent="0.25">
      <c r="C3" s="24" t="s">
        <v>567</v>
      </c>
      <c r="D3" s="24" t="s">
        <v>568</v>
      </c>
      <c r="E3" s="24" t="s">
        <v>569</v>
      </c>
    </row>
    <row r="4" spans="3:5" ht="45" x14ac:dyDescent="0.25">
      <c r="C4" s="26">
        <v>10</v>
      </c>
      <c r="D4" s="25" t="s">
        <v>570</v>
      </c>
      <c r="E4" s="25" t="s">
        <v>571</v>
      </c>
    </row>
    <row r="5" spans="3:5" ht="30" x14ac:dyDescent="0.25">
      <c r="C5" s="26">
        <v>9</v>
      </c>
      <c r="D5" s="25" t="s">
        <v>572</v>
      </c>
      <c r="E5" s="25" t="s">
        <v>573</v>
      </c>
    </row>
    <row r="6" spans="3:5" ht="30" x14ac:dyDescent="0.25">
      <c r="C6" s="26">
        <v>8</v>
      </c>
      <c r="D6" s="25" t="s">
        <v>574</v>
      </c>
      <c r="E6" s="25" t="s">
        <v>575</v>
      </c>
    </row>
    <row r="7" spans="3:5" ht="30" x14ac:dyDescent="0.25">
      <c r="C7" s="26">
        <v>7</v>
      </c>
      <c r="D7" s="25" t="s">
        <v>576</v>
      </c>
      <c r="E7" s="25" t="s">
        <v>577</v>
      </c>
    </row>
    <row r="8" spans="3:5" ht="45" x14ac:dyDescent="0.25">
      <c r="C8" s="26">
        <v>6</v>
      </c>
      <c r="D8" s="25" t="s">
        <v>578</v>
      </c>
      <c r="E8" s="25" t="s">
        <v>579</v>
      </c>
    </row>
    <row r="9" spans="3:5" ht="30" x14ac:dyDescent="0.25">
      <c r="C9" s="26">
        <v>5</v>
      </c>
      <c r="D9" s="25" t="s">
        <v>580</v>
      </c>
      <c r="E9" s="25" t="s">
        <v>581</v>
      </c>
    </row>
    <row r="10" spans="3:5" ht="45" x14ac:dyDescent="0.25">
      <c r="C10" s="26">
        <v>4</v>
      </c>
      <c r="D10" s="25" t="s">
        <v>582</v>
      </c>
      <c r="E10" s="25" t="s">
        <v>583</v>
      </c>
    </row>
    <row r="11" spans="3:5" ht="30" x14ac:dyDescent="0.25">
      <c r="C11" s="26">
        <v>3</v>
      </c>
      <c r="D11" s="25" t="s">
        <v>584</v>
      </c>
      <c r="E11" s="25" t="s">
        <v>585</v>
      </c>
    </row>
    <row r="12" spans="3:5" ht="30" x14ac:dyDescent="0.25">
      <c r="C12" s="26">
        <v>2</v>
      </c>
      <c r="D12" s="25" t="s">
        <v>586</v>
      </c>
      <c r="E12" s="25" t="s">
        <v>587</v>
      </c>
    </row>
    <row r="13" spans="3:5" ht="30" x14ac:dyDescent="0.25">
      <c r="C13" s="26">
        <v>1</v>
      </c>
      <c r="D13" s="25" t="s">
        <v>588</v>
      </c>
      <c r="E13" s="25" t="s">
        <v>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A4E9-2B59-42D6-AEDA-98C6BA978E79}">
  <dimension ref="B3:K27"/>
  <sheetViews>
    <sheetView zoomScale="85" zoomScaleNormal="85" workbookViewId="0">
      <selection activeCell="C26" sqref="C4:C26"/>
    </sheetView>
  </sheetViews>
  <sheetFormatPr defaultRowHeight="13.2" x14ac:dyDescent="0.25"/>
  <cols>
    <col min="1" max="1" width="2" customWidth="1"/>
    <col min="2" max="2" width="11.5546875" customWidth="1"/>
    <col min="3" max="3" width="34.33203125" bestFit="1" customWidth="1"/>
    <col min="7" max="7" width="37" bestFit="1" customWidth="1"/>
    <col min="10" max="10" width="37" bestFit="1" customWidth="1"/>
  </cols>
  <sheetData>
    <row r="3" spans="3:11" x14ac:dyDescent="0.25">
      <c r="C3" t="s">
        <v>486</v>
      </c>
      <c r="G3" s="9" t="s">
        <v>493</v>
      </c>
      <c r="J3" s="9" t="s">
        <v>529</v>
      </c>
      <c r="K3" t="s">
        <v>531</v>
      </c>
    </row>
    <row r="4" spans="3:11" x14ac:dyDescent="0.25">
      <c r="C4" t="s">
        <v>487</v>
      </c>
      <c r="G4" s="9" t="s">
        <v>494</v>
      </c>
      <c r="H4" s="9" t="s">
        <v>495</v>
      </c>
      <c r="J4" t="s">
        <v>530</v>
      </c>
      <c r="K4">
        <v>5</v>
      </c>
    </row>
    <row r="5" spans="3:11" x14ac:dyDescent="0.25">
      <c r="C5" t="s">
        <v>488</v>
      </c>
      <c r="G5" s="9" t="s">
        <v>497</v>
      </c>
      <c r="H5" s="9" t="s">
        <v>498</v>
      </c>
    </row>
    <row r="6" spans="3:11" x14ac:dyDescent="0.25">
      <c r="C6" s="9" t="s">
        <v>491</v>
      </c>
      <c r="G6" s="9" t="s">
        <v>509</v>
      </c>
      <c r="H6" t="s">
        <v>510</v>
      </c>
    </row>
    <row r="7" spans="3:11" x14ac:dyDescent="0.25">
      <c r="C7" s="9" t="s">
        <v>492</v>
      </c>
      <c r="G7" s="9" t="s">
        <v>512</v>
      </c>
      <c r="H7" t="s">
        <v>513</v>
      </c>
    </row>
    <row r="8" spans="3:11" x14ac:dyDescent="0.25">
      <c r="C8" s="9" t="s">
        <v>500</v>
      </c>
    </row>
    <row r="9" spans="3:11" x14ac:dyDescent="0.25">
      <c r="C9" s="9" t="s">
        <v>501</v>
      </c>
    </row>
    <row r="10" spans="3:11" x14ac:dyDescent="0.25">
      <c r="C10" s="9" t="s">
        <v>502</v>
      </c>
    </row>
    <row r="11" spans="3:11" x14ac:dyDescent="0.25">
      <c r="C11" s="9" t="s">
        <v>503</v>
      </c>
    </row>
    <row r="12" spans="3:11" x14ac:dyDescent="0.25">
      <c r="C12" s="9" t="s">
        <v>525</v>
      </c>
    </row>
    <row r="13" spans="3:11" x14ac:dyDescent="0.25">
      <c r="C13" s="9" t="s">
        <v>526</v>
      </c>
    </row>
    <row r="14" spans="3:11" x14ac:dyDescent="0.25">
      <c r="C14" s="9" t="s">
        <v>527</v>
      </c>
    </row>
    <row r="15" spans="3:11" x14ac:dyDescent="0.25">
      <c r="C15" s="9" t="s">
        <v>528</v>
      </c>
    </row>
    <row r="16" spans="3:11" x14ac:dyDescent="0.25">
      <c r="C16" s="9" t="s">
        <v>506</v>
      </c>
    </row>
    <row r="17" spans="2:10" x14ac:dyDescent="0.25">
      <c r="C17" s="9" t="s">
        <v>507</v>
      </c>
    </row>
    <row r="18" spans="2:10" x14ac:dyDescent="0.25">
      <c r="C18" s="9" t="s">
        <v>508</v>
      </c>
    </row>
    <row r="19" spans="2:10" x14ac:dyDescent="0.25">
      <c r="C19" s="9" t="s">
        <v>514</v>
      </c>
    </row>
    <row r="20" spans="2:10" x14ac:dyDescent="0.25">
      <c r="C20" s="9" t="s">
        <v>518</v>
      </c>
    </row>
    <row r="21" spans="2:10" x14ac:dyDescent="0.25">
      <c r="C21" s="9" t="s">
        <v>519</v>
      </c>
    </row>
    <row r="22" spans="2:10" x14ac:dyDescent="0.25">
      <c r="C22" s="9" t="s">
        <v>520</v>
      </c>
    </row>
    <row r="23" spans="2:10" x14ac:dyDescent="0.25">
      <c r="C23" s="9" t="s">
        <v>521</v>
      </c>
    </row>
    <row r="24" spans="2:10" x14ac:dyDescent="0.25">
      <c r="C24" s="9" t="s">
        <v>522</v>
      </c>
    </row>
    <row r="25" spans="2:10" x14ac:dyDescent="0.25">
      <c r="C25" s="9" t="s">
        <v>523</v>
      </c>
    </row>
    <row r="26" spans="2:10" x14ac:dyDescent="0.25">
      <c r="C26" s="9" t="s">
        <v>524</v>
      </c>
    </row>
    <row r="27" spans="2:10" x14ac:dyDescent="0.25">
      <c r="B27" s="9" t="s">
        <v>540</v>
      </c>
      <c r="C27">
        <f>COUNTA((C4:C26))</f>
        <v>23</v>
      </c>
      <c r="F27" s="9" t="s">
        <v>541</v>
      </c>
      <c r="G27">
        <f t="shared" ref="G27:J27" si="0">COUNTA((G4:G26))</f>
        <v>4</v>
      </c>
      <c r="I27" s="9" t="s">
        <v>542</v>
      </c>
      <c r="J27">
        <f t="shared" si="0"/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B1:L203"/>
  <sheetViews>
    <sheetView zoomScale="55" zoomScaleNormal="55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defaultColWidth="12.6640625" defaultRowHeight="15.75" customHeight="1" x14ac:dyDescent="0.25"/>
  <cols>
    <col min="1" max="1" width="3.33203125" customWidth="1"/>
    <col min="2" max="2" width="13.88671875" bestFit="1" customWidth="1"/>
    <col min="3" max="3" width="40.21875" customWidth="1"/>
    <col min="4" max="4" width="24" customWidth="1"/>
    <col min="5" max="5" width="15.5546875" style="3" bestFit="1" customWidth="1"/>
    <col min="6" max="6" width="18.21875" style="3" bestFit="1" customWidth="1"/>
    <col min="7" max="7" width="35.88671875" customWidth="1"/>
    <col min="8" max="8" width="124.77734375" bestFit="1" customWidth="1"/>
    <col min="10" max="10" width="42.44140625" customWidth="1"/>
    <col min="11" max="11" width="14.33203125" bestFit="1" customWidth="1"/>
  </cols>
  <sheetData>
    <row r="1" spans="2:12" ht="13.2" x14ac:dyDescent="0.25">
      <c r="B1" s="1" t="s">
        <v>0</v>
      </c>
      <c r="C1" s="1" t="s">
        <v>1</v>
      </c>
      <c r="D1" s="1" t="s">
        <v>420</v>
      </c>
      <c r="E1" s="2" t="s">
        <v>2</v>
      </c>
      <c r="F1" s="2" t="s">
        <v>421</v>
      </c>
      <c r="G1" s="1" t="s">
        <v>3</v>
      </c>
      <c r="H1" s="1" t="s">
        <v>4</v>
      </c>
      <c r="I1" s="1" t="s">
        <v>422</v>
      </c>
      <c r="J1" s="1" t="s">
        <v>483</v>
      </c>
      <c r="K1" s="8" t="s">
        <v>539</v>
      </c>
      <c r="L1" s="8" t="s">
        <v>538</v>
      </c>
    </row>
    <row r="2" spans="2:12" ht="13.2" x14ac:dyDescent="0.25">
      <c r="B2" s="1" t="s">
        <v>5</v>
      </c>
      <c r="C2" s="1" t="s">
        <v>6</v>
      </c>
      <c r="D2" s="1">
        <v>1</v>
      </c>
      <c r="E2" s="2">
        <v>6</v>
      </c>
      <c r="F2" s="2">
        <v>1</v>
      </c>
      <c r="G2" s="1" t="s">
        <v>7</v>
      </c>
      <c r="H2" s="1" t="s">
        <v>8</v>
      </c>
      <c r="I2" s="1">
        <v>5</v>
      </c>
      <c r="J2" t="s">
        <v>484</v>
      </c>
      <c r="K2">
        <v>1</v>
      </c>
      <c r="L2">
        <f>COUNTIF($I$2:$I$197,K2)</f>
        <v>2</v>
      </c>
    </row>
    <row r="3" spans="2:12" ht="13.2" hidden="1" x14ac:dyDescent="0.25">
      <c r="B3" s="1" t="s">
        <v>5</v>
      </c>
      <c r="C3" s="1" t="s">
        <v>9</v>
      </c>
      <c r="D3" s="1">
        <v>1</v>
      </c>
      <c r="E3" s="2">
        <v>6</v>
      </c>
      <c r="F3" s="2"/>
      <c r="H3" s="1" t="s">
        <v>10</v>
      </c>
      <c r="I3">
        <v>5</v>
      </c>
      <c r="J3" t="s">
        <v>485</v>
      </c>
      <c r="K3">
        <v>2</v>
      </c>
      <c r="L3">
        <f t="shared" ref="L3:L11" si="0">COUNTIF($I$2:$I$197,K3)</f>
        <v>3</v>
      </c>
    </row>
    <row r="4" spans="2:12" ht="13.2" x14ac:dyDescent="0.25">
      <c r="B4" s="1" t="s">
        <v>11</v>
      </c>
      <c r="C4" s="1" t="s">
        <v>12</v>
      </c>
      <c r="D4" s="1">
        <v>1</v>
      </c>
      <c r="E4" s="2">
        <v>4</v>
      </c>
      <c r="F4" s="2">
        <v>1</v>
      </c>
      <c r="G4" s="1" t="s">
        <v>7</v>
      </c>
      <c r="H4" s="1" t="s">
        <v>13</v>
      </c>
      <c r="I4" s="1">
        <v>10</v>
      </c>
      <c r="K4">
        <v>3</v>
      </c>
      <c r="L4">
        <f t="shared" si="0"/>
        <v>1</v>
      </c>
    </row>
    <row r="5" spans="2:12" ht="13.2" hidden="1" x14ac:dyDescent="0.25">
      <c r="B5" s="1" t="s">
        <v>11</v>
      </c>
      <c r="C5" s="1" t="s">
        <v>9</v>
      </c>
      <c r="D5" s="1">
        <v>1</v>
      </c>
      <c r="E5" s="2">
        <v>4</v>
      </c>
      <c r="F5" s="2"/>
      <c r="H5" s="1" t="s">
        <v>14</v>
      </c>
      <c r="I5" s="1">
        <v>10</v>
      </c>
      <c r="K5">
        <v>4</v>
      </c>
      <c r="L5">
        <f t="shared" si="0"/>
        <v>0</v>
      </c>
    </row>
    <row r="6" spans="2:12" ht="13.2" x14ac:dyDescent="0.25">
      <c r="B6" s="1" t="s">
        <v>15</v>
      </c>
      <c r="C6" s="1" t="s">
        <v>6</v>
      </c>
      <c r="D6" s="1">
        <v>1</v>
      </c>
      <c r="E6" s="2">
        <v>6</v>
      </c>
      <c r="F6" s="2">
        <v>1</v>
      </c>
      <c r="G6" s="1" t="s">
        <v>7</v>
      </c>
      <c r="H6" s="1" t="s">
        <v>16</v>
      </c>
      <c r="I6" s="1">
        <v>9</v>
      </c>
      <c r="K6">
        <v>5</v>
      </c>
      <c r="L6">
        <f t="shared" si="0"/>
        <v>2</v>
      </c>
    </row>
    <row r="7" spans="2:12" ht="13.2" x14ac:dyDescent="0.25">
      <c r="B7" s="1" t="s">
        <v>15</v>
      </c>
      <c r="C7" s="1" t="s">
        <v>17</v>
      </c>
      <c r="D7" s="1">
        <v>1</v>
      </c>
      <c r="E7" s="2">
        <v>4</v>
      </c>
      <c r="F7" s="2">
        <v>1</v>
      </c>
      <c r="G7" s="1" t="s">
        <v>7</v>
      </c>
      <c r="H7" s="1" t="s">
        <v>18</v>
      </c>
      <c r="I7" s="1">
        <v>10</v>
      </c>
      <c r="K7">
        <v>6</v>
      </c>
      <c r="L7">
        <f t="shared" si="0"/>
        <v>2</v>
      </c>
    </row>
    <row r="8" spans="2:12" ht="13.2" hidden="1" x14ac:dyDescent="0.25">
      <c r="B8" s="1" t="s">
        <v>15</v>
      </c>
      <c r="C8" s="1" t="s">
        <v>9</v>
      </c>
      <c r="D8" s="1">
        <v>1</v>
      </c>
      <c r="E8" s="2">
        <v>6</v>
      </c>
      <c r="F8" s="2"/>
      <c r="H8" s="1" t="s">
        <v>19</v>
      </c>
      <c r="I8" s="1">
        <v>9</v>
      </c>
      <c r="K8">
        <v>7</v>
      </c>
      <c r="L8">
        <f t="shared" si="0"/>
        <v>2</v>
      </c>
    </row>
    <row r="9" spans="2:12" ht="13.2" x14ac:dyDescent="0.25">
      <c r="B9" s="1" t="s">
        <v>20</v>
      </c>
      <c r="C9" s="1" t="s">
        <v>21</v>
      </c>
      <c r="D9" s="1">
        <v>1</v>
      </c>
      <c r="E9" s="2">
        <v>5</v>
      </c>
      <c r="F9" s="2">
        <v>1</v>
      </c>
      <c r="G9" s="1" t="s">
        <v>22</v>
      </c>
      <c r="H9" s="1" t="s">
        <v>23</v>
      </c>
      <c r="I9" s="1">
        <v>10</v>
      </c>
      <c r="K9">
        <v>8</v>
      </c>
      <c r="L9">
        <f t="shared" si="0"/>
        <v>6</v>
      </c>
    </row>
    <row r="10" spans="2:12" ht="13.2" hidden="1" x14ac:dyDescent="0.25">
      <c r="B10" s="1" t="s">
        <v>20</v>
      </c>
      <c r="C10" s="1" t="s">
        <v>9</v>
      </c>
      <c r="D10" s="1">
        <v>1</v>
      </c>
      <c r="E10" s="2">
        <v>5</v>
      </c>
      <c r="F10" s="2"/>
      <c r="H10" s="1" t="s">
        <v>24</v>
      </c>
      <c r="I10" s="1">
        <v>10</v>
      </c>
      <c r="K10">
        <v>9</v>
      </c>
      <c r="L10">
        <f t="shared" si="0"/>
        <v>6</v>
      </c>
    </row>
    <row r="11" spans="2:12" ht="13.2" x14ac:dyDescent="0.25">
      <c r="B11" s="1" t="s">
        <v>25</v>
      </c>
      <c r="C11" s="1" t="s">
        <v>26</v>
      </c>
      <c r="D11" s="1">
        <v>1</v>
      </c>
      <c r="E11" s="2">
        <v>6</v>
      </c>
      <c r="F11" s="2">
        <v>1</v>
      </c>
      <c r="G11" s="1" t="s">
        <v>22</v>
      </c>
      <c r="H11" s="1" t="s">
        <v>27</v>
      </c>
      <c r="I11" s="1">
        <v>10</v>
      </c>
      <c r="K11">
        <v>10</v>
      </c>
      <c r="L11">
        <f t="shared" si="0"/>
        <v>172</v>
      </c>
    </row>
    <row r="12" spans="2:12" ht="13.2" hidden="1" x14ac:dyDescent="0.25">
      <c r="B12" s="1" t="s">
        <v>25</v>
      </c>
      <c r="C12" s="1" t="s">
        <v>9</v>
      </c>
      <c r="D12" s="1">
        <v>1</v>
      </c>
      <c r="E12" s="2">
        <v>6</v>
      </c>
      <c r="F12" s="2"/>
      <c r="H12" s="1" t="s">
        <v>28</v>
      </c>
      <c r="I12" s="1">
        <v>10</v>
      </c>
    </row>
    <row r="13" spans="2:12" ht="13.2" x14ac:dyDescent="0.25">
      <c r="B13" s="1" t="s">
        <v>29</v>
      </c>
      <c r="C13" s="1" t="s">
        <v>6</v>
      </c>
      <c r="D13" s="1">
        <v>1</v>
      </c>
      <c r="E13" s="2">
        <v>5</v>
      </c>
      <c r="F13" s="2">
        <v>1</v>
      </c>
      <c r="G13" s="1" t="s">
        <v>7</v>
      </c>
      <c r="H13" s="1" t="s">
        <v>30</v>
      </c>
      <c r="I13" s="1">
        <v>10</v>
      </c>
    </row>
    <row r="14" spans="2:12" ht="13.2" hidden="1" x14ac:dyDescent="0.25">
      <c r="B14" s="1" t="s">
        <v>29</v>
      </c>
      <c r="C14" s="1" t="s">
        <v>9</v>
      </c>
      <c r="D14" s="1">
        <v>1</v>
      </c>
      <c r="E14" s="2">
        <v>5</v>
      </c>
      <c r="F14" s="2"/>
      <c r="H14" s="1" t="s">
        <v>31</v>
      </c>
      <c r="I14" s="1">
        <v>10</v>
      </c>
    </row>
    <row r="15" spans="2:12" ht="13.2" x14ac:dyDescent="0.25">
      <c r="B15" s="1" t="s">
        <v>32</v>
      </c>
      <c r="C15" s="1" t="s">
        <v>33</v>
      </c>
      <c r="D15" s="1">
        <v>1</v>
      </c>
      <c r="E15" s="2">
        <v>5</v>
      </c>
      <c r="F15" s="2">
        <v>1</v>
      </c>
      <c r="G15" s="1" t="s">
        <v>34</v>
      </c>
      <c r="H15" s="1" t="s">
        <v>35</v>
      </c>
      <c r="I15" s="1">
        <v>10</v>
      </c>
    </row>
    <row r="16" spans="2:12" ht="13.2" x14ac:dyDescent="0.25">
      <c r="B16" s="1" t="s">
        <v>32</v>
      </c>
      <c r="C16" s="1" t="s">
        <v>36</v>
      </c>
      <c r="D16" s="1">
        <v>1</v>
      </c>
      <c r="E16" s="2">
        <v>6</v>
      </c>
      <c r="F16" s="2">
        <v>1</v>
      </c>
      <c r="G16" s="1" t="s">
        <v>7</v>
      </c>
      <c r="H16" s="1" t="s">
        <v>37</v>
      </c>
      <c r="I16" s="1">
        <v>10</v>
      </c>
    </row>
    <row r="17" spans="2:12" ht="13.2" x14ac:dyDescent="0.25">
      <c r="B17" s="1" t="s">
        <v>32</v>
      </c>
      <c r="C17" s="1" t="s">
        <v>38</v>
      </c>
      <c r="D17" s="1">
        <v>1</v>
      </c>
      <c r="E17" s="2">
        <v>4</v>
      </c>
      <c r="F17" s="2">
        <v>1</v>
      </c>
      <c r="G17" s="1" t="s">
        <v>39</v>
      </c>
      <c r="H17" s="1" t="s">
        <v>40</v>
      </c>
      <c r="I17" s="1">
        <v>10</v>
      </c>
    </row>
    <row r="18" spans="2:12" ht="13.2" hidden="1" x14ac:dyDescent="0.25">
      <c r="B18" s="1" t="s">
        <v>32</v>
      </c>
      <c r="C18" s="1" t="s">
        <v>9</v>
      </c>
      <c r="D18" s="1">
        <v>1</v>
      </c>
      <c r="E18" s="2">
        <v>6</v>
      </c>
      <c r="F18" s="2"/>
      <c r="H18" s="1" t="s">
        <v>41</v>
      </c>
      <c r="I18" s="1">
        <v>10</v>
      </c>
    </row>
    <row r="19" spans="2:12" ht="13.2" x14ac:dyDescent="0.25">
      <c r="B19" s="1" t="s">
        <v>42</v>
      </c>
      <c r="C19" s="1" t="s">
        <v>43</v>
      </c>
      <c r="D19" s="1">
        <v>1</v>
      </c>
      <c r="E19" s="2">
        <v>6</v>
      </c>
      <c r="F19" s="2">
        <v>1</v>
      </c>
      <c r="G19" s="1" t="s">
        <v>7</v>
      </c>
      <c r="H19" s="1" t="s">
        <v>44</v>
      </c>
      <c r="I19" s="1">
        <v>10</v>
      </c>
    </row>
    <row r="20" spans="2:12" ht="13.2" hidden="1" x14ac:dyDescent="0.25">
      <c r="B20" s="1" t="s">
        <v>42</v>
      </c>
      <c r="C20" s="1" t="s">
        <v>9</v>
      </c>
      <c r="D20" s="1">
        <v>1</v>
      </c>
      <c r="E20" s="2">
        <v>6</v>
      </c>
      <c r="F20" s="2"/>
      <c r="H20" s="1" t="s">
        <v>45</v>
      </c>
      <c r="I20" s="1">
        <v>10</v>
      </c>
    </row>
    <row r="21" spans="2:12" ht="13.2" x14ac:dyDescent="0.25">
      <c r="B21" s="1" t="s">
        <v>46</v>
      </c>
      <c r="C21" s="1" t="s">
        <v>47</v>
      </c>
      <c r="D21" s="1">
        <v>1</v>
      </c>
      <c r="E21" s="2">
        <v>7</v>
      </c>
      <c r="F21" s="2">
        <v>1</v>
      </c>
      <c r="G21" s="1" t="s">
        <v>48</v>
      </c>
      <c r="H21" s="1" t="s">
        <v>49</v>
      </c>
      <c r="I21" s="1">
        <v>10</v>
      </c>
    </row>
    <row r="22" spans="2:12" ht="13.2" hidden="1" x14ac:dyDescent="0.25">
      <c r="B22" s="1" t="s">
        <v>46</v>
      </c>
      <c r="C22" s="1" t="s">
        <v>9</v>
      </c>
      <c r="D22" s="1">
        <v>1</v>
      </c>
      <c r="E22" s="2">
        <v>7</v>
      </c>
      <c r="F22" s="2"/>
      <c r="H22" s="1" t="s">
        <v>50</v>
      </c>
      <c r="I22" s="1">
        <v>10</v>
      </c>
    </row>
    <row r="23" spans="2:12" ht="13.2" x14ac:dyDescent="0.25">
      <c r="B23" s="1" t="s">
        <v>51</v>
      </c>
      <c r="C23" s="1" t="s">
        <v>52</v>
      </c>
      <c r="D23" s="1">
        <v>1</v>
      </c>
      <c r="E23" s="2">
        <v>9</v>
      </c>
      <c r="F23" s="2">
        <v>1</v>
      </c>
      <c r="G23" s="1" t="s">
        <v>53</v>
      </c>
      <c r="H23" s="1" t="s">
        <v>54</v>
      </c>
      <c r="I23" s="1">
        <v>10</v>
      </c>
      <c r="L23" s="12"/>
    </row>
    <row r="24" spans="2:12" ht="13.2" hidden="1" x14ac:dyDescent="0.25">
      <c r="B24" s="1" t="s">
        <v>51</v>
      </c>
      <c r="C24" s="1" t="s">
        <v>9</v>
      </c>
      <c r="D24" s="1">
        <v>1</v>
      </c>
      <c r="E24" s="2">
        <v>9</v>
      </c>
      <c r="F24" s="2"/>
      <c r="H24" s="1" t="s">
        <v>55</v>
      </c>
      <c r="I24" s="1">
        <v>10</v>
      </c>
      <c r="L24" s="12"/>
    </row>
    <row r="25" spans="2:12" ht="13.2" x14ac:dyDescent="0.25">
      <c r="B25" s="1" t="s">
        <v>56</v>
      </c>
      <c r="C25" s="1" t="s">
        <v>57</v>
      </c>
      <c r="D25" s="1">
        <v>1</v>
      </c>
      <c r="E25" s="2">
        <v>8</v>
      </c>
      <c r="F25" s="2">
        <v>1</v>
      </c>
      <c r="G25" s="1" t="s">
        <v>53</v>
      </c>
      <c r="H25" s="1" t="s">
        <v>58</v>
      </c>
      <c r="I25" s="1">
        <v>10</v>
      </c>
    </row>
    <row r="26" spans="2:12" ht="13.2" hidden="1" x14ac:dyDescent="0.25">
      <c r="B26" s="1" t="s">
        <v>56</v>
      </c>
      <c r="C26" s="1" t="s">
        <v>9</v>
      </c>
      <c r="D26" s="1">
        <v>1</v>
      </c>
      <c r="E26" s="2">
        <v>8</v>
      </c>
      <c r="F26" s="2"/>
      <c r="H26" s="1" t="s">
        <v>59</v>
      </c>
      <c r="I26" s="1">
        <v>10</v>
      </c>
    </row>
    <row r="27" spans="2:12" ht="13.2" x14ac:dyDescent="0.25">
      <c r="B27" s="1" t="s">
        <v>60</v>
      </c>
      <c r="C27" s="1" t="s">
        <v>61</v>
      </c>
      <c r="D27" s="1">
        <v>1</v>
      </c>
      <c r="E27" s="2">
        <v>8</v>
      </c>
      <c r="F27" s="2">
        <v>1</v>
      </c>
      <c r="G27" s="1" t="s">
        <v>62</v>
      </c>
      <c r="H27" s="1" t="s">
        <v>63</v>
      </c>
      <c r="I27" s="1">
        <v>10</v>
      </c>
    </row>
    <row r="28" spans="2:12" ht="13.2" x14ac:dyDescent="0.25">
      <c r="B28" s="1" t="s">
        <v>60</v>
      </c>
      <c r="C28" s="1" t="s">
        <v>64</v>
      </c>
      <c r="D28" s="1">
        <v>1</v>
      </c>
      <c r="E28" s="2">
        <v>5</v>
      </c>
      <c r="F28" s="2">
        <v>1</v>
      </c>
      <c r="G28" s="1" t="s">
        <v>62</v>
      </c>
      <c r="H28" s="1" t="s">
        <v>65</v>
      </c>
      <c r="I28" s="1">
        <v>10</v>
      </c>
    </row>
    <row r="29" spans="2:12" ht="13.2" hidden="1" x14ac:dyDescent="0.25">
      <c r="B29" s="1" t="s">
        <v>60</v>
      </c>
      <c r="C29" s="1" t="s">
        <v>9</v>
      </c>
      <c r="D29" s="1">
        <v>1</v>
      </c>
      <c r="E29" s="2">
        <v>8</v>
      </c>
      <c r="F29" s="2"/>
      <c r="H29" s="1" t="s">
        <v>66</v>
      </c>
      <c r="I29" s="1">
        <v>10</v>
      </c>
    </row>
    <row r="30" spans="2:12" ht="13.2" x14ac:dyDescent="0.25">
      <c r="B30" s="1" t="s">
        <v>67</v>
      </c>
      <c r="C30" s="1" t="s">
        <v>68</v>
      </c>
      <c r="D30" s="1">
        <v>1</v>
      </c>
      <c r="E30" s="2">
        <v>8</v>
      </c>
      <c r="F30" s="2">
        <v>1</v>
      </c>
      <c r="G30" s="1" t="s">
        <v>69</v>
      </c>
      <c r="H30" s="1" t="s">
        <v>70</v>
      </c>
      <c r="I30" s="1">
        <v>10</v>
      </c>
    </row>
    <row r="31" spans="2:12" ht="13.2" hidden="1" x14ac:dyDescent="0.25">
      <c r="B31" s="1" t="s">
        <v>67</v>
      </c>
      <c r="C31" s="1" t="s">
        <v>9</v>
      </c>
      <c r="D31" s="1">
        <v>1</v>
      </c>
      <c r="E31" s="2">
        <v>8</v>
      </c>
      <c r="F31" s="2"/>
      <c r="H31" s="1" t="s">
        <v>71</v>
      </c>
      <c r="I31" s="1">
        <v>10</v>
      </c>
    </row>
    <row r="32" spans="2:12" ht="13.2" x14ac:dyDescent="0.25">
      <c r="B32" s="1" t="s">
        <v>72</v>
      </c>
      <c r="C32" s="1" t="s">
        <v>73</v>
      </c>
      <c r="D32" s="1">
        <v>1</v>
      </c>
      <c r="E32" s="2">
        <v>8</v>
      </c>
      <c r="F32" s="2">
        <v>1</v>
      </c>
      <c r="G32" s="1" t="s">
        <v>74</v>
      </c>
      <c r="H32" s="1" t="s">
        <v>75</v>
      </c>
      <c r="I32" s="1">
        <v>10</v>
      </c>
    </row>
    <row r="33" spans="2:10" ht="13.2" hidden="1" x14ac:dyDescent="0.25">
      <c r="B33" s="1" t="s">
        <v>72</v>
      </c>
      <c r="C33" s="1" t="s">
        <v>9</v>
      </c>
      <c r="D33" s="1">
        <v>1</v>
      </c>
      <c r="E33" s="2">
        <v>8</v>
      </c>
      <c r="F33" s="2"/>
      <c r="H33" s="1" t="s">
        <v>76</v>
      </c>
      <c r="I33" s="1">
        <v>10</v>
      </c>
    </row>
    <row r="34" spans="2:10" ht="13.2" x14ac:dyDescent="0.25">
      <c r="B34" s="1" t="s">
        <v>77</v>
      </c>
      <c r="C34" s="1" t="s">
        <v>78</v>
      </c>
      <c r="D34" s="1">
        <v>1</v>
      </c>
      <c r="E34" s="2">
        <v>8</v>
      </c>
      <c r="F34" s="2">
        <v>1</v>
      </c>
      <c r="G34" s="1" t="s">
        <v>79</v>
      </c>
      <c r="H34" s="1" t="s">
        <v>80</v>
      </c>
      <c r="I34" s="1">
        <v>10</v>
      </c>
    </row>
    <row r="35" spans="2:10" ht="13.2" hidden="1" x14ac:dyDescent="0.25">
      <c r="B35" s="1" t="s">
        <v>77</v>
      </c>
      <c r="C35" s="1" t="s">
        <v>9</v>
      </c>
      <c r="D35" s="1">
        <v>1</v>
      </c>
      <c r="E35" s="2">
        <v>8</v>
      </c>
      <c r="F35" s="2"/>
      <c r="H35" s="1" t="s">
        <v>81</v>
      </c>
      <c r="I35" s="1">
        <v>10</v>
      </c>
    </row>
    <row r="36" spans="2:10" ht="13.2" x14ac:dyDescent="0.25">
      <c r="B36" s="1" t="s">
        <v>82</v>
      </c>
      <c r="C36" s="1" t="s">
        <v>83</v>
      </c>
      <c r="D36" s="1">
        <v>1</v>
      </c>
      <c r="E36" s="2">
        <v>7</v>
      </c>
      <c r="F36" s="2">
        <v>1</v>
      </c>
      <c r="G36" s="1" t="s">
        <v>7</v>
      </c>
      <c r="H36" s="1" t="s">
        <v>84</v>
      </c>
      <c r="I36" s="1">
        <v>10</v>
      </c>
    </row>
    <row r="37" spans="2:10" ht="13.2" hidden="1" x14ac:dyDescent="0.25">
      <c r="B37" s="1" t="s">
        <v>82</v>
      </c>
      <c r="C37" s="1" t="s">
        <v>9</v>
      </c>
      <c r="D37" s="1">
        <v>1</v>
      </c>
      <c r="E37" s="2">
        <v>7</v>
      </c>
      <c r="F37" s="2"/>
      <c r="H37" s="1" t="s">
        <v>85</v>
      </c>
      <c r="I37" s="1">
        <v>10</v>
      </c>
    </row>
    <row r="38" spans="2:10" ht="13.2" x14ac:dyDescent="0.25">
      <c r="B38" s="1" t="s">
        <v>86</v>
      </c>
      <c r="C38" s="1" t="s">
        <v>87</v>
      </c>
      <c r="D38" s="1">
        <v>1</v>
      </c>
      <c r="E38" s="2">
        <v>8</v>
      </c>
      <c r="F38" s="2">
        <v>1</v>
      </c>
      <c r="G38" s="1" t="s">
        <v>88</v>
      </c>
      <c r="H38" s="1" t="s">
        <v>89</v>
      </c>
      <c r="I38" s="1">
        <v>10</v>
      </c>
    </row>
    <row r="39" spans="2:10" ht="13.2" x14ac:dyDescent="0.25">
      <c r="B39" s="1" t="s">
        <v>86</v>
      </c>
      <c r="C39" s="1" t="s">
        <v>90</v>
      </c>
      <c r="D39" s="1">
        <v>1</v>
      </c>
      <c r="E39" s="2">
        <v>6</v>
      </c>
      <c r="F39" s="2">
        <v>1</v>
      </c>
      <c r="G39" s="1" t="s">
        <v>88</v>
      </c>
      <c r="H39" s="1" t="s">
        <v>91</v>
      </c>
      <c r="I39" s="1">
        <v>10</v>
      </c>
    </row>
    <row r="40" spans="2:10" ht="13.2" hidden="1" x14ac:dyDescent="0.25">
      <c r="B40" s="1" t="s">
        <v>86</v>
      </c>
      <c r="C40" s="1" t="s">
        <v>9</v>
      </c>
      <c r="D40" s="1">
        <v>1</v>
      </c>
      <c r="E40" s="2">
        <v>8</v>
      </c>
      <c r="F40" s="2"/>
      <c r="H40" s="1" t="s">
        <v>92</v>
      </c>
      <c r="I40" s="1">
        <v>10</v>
      </c>
    </row>
    <row r="41" spans="2:10" ht="13.2" x14ac:dyDescent="0.25">
      <c r="B41" s="1" t="s">
        <v>93</v>
      </c>
      <c r="C41" s="1" t="s">
        <v>94</v>
      </c>
      <c r="D41" s="1">
        <v>1</v>
      </c>
      <c r="E41" s="2">
        <v>6</v>
      </c>
      <c r="F41" s="2">
        <v>1</v>
      </c>
      <c r="G41" s="1" t="s">
        <v>95</v>
      </c>
      <c r="H41" s="1" t="s">
        <v>96</v>
      </c>
      <c r="I41" s="1">
        <v>10</v>
      </c>
    </row>
    <row r="42" spans="2:10" ht="13.2" hidden="1" x14ac:dyDescent="0.25">
      <c r="B42" s="1" t="s">
        <v>93</v>
      </c>
      <c r="C42" s="1" t="s">
        <v>9</v>
      </c>
      <c r="D42" s="1">
        <v>1</v>
      </c>
      <c r="E42" s="2">
        <v>6</v>
      </c>
      <c r="F42" s="2"/>
      <c r="H42" s="1" t="s">
        <v>97</v>
      </c>
      <c r="I42" s="1">
        <v>10</v>
      </c>
    </row>
    <row r="43" spans="2:10" ht="13.2" x14ac:dyDescent="0.25">
      <c r="B43" s="1" t="s">
        <v>98</v>
      </c>
      <c r="C43" s="1" t="s">
        <v>99</v>
      </c>
      <c r="D43" s="1">
        <v>1</v>
      </c>
      <c r="E43" s="2">
        <v>8</v>
      </c>
      <c r="F43" s="2">
        <v>1</v>
      </c>
      <c r="G43" s="1" t="s">
        <v>74</v>
      </c>
      <c r="H43" s="1" t="s">
        <v>100</v>
      </c>
      <c r="I43" s="1">
        <v>10</v>
      </c>
    </row>
    <row r="44" spans="2:10" ht="13.2" hidden="1" x14ac:dyDescent="0.25">
      <c r="B44" s="1" t="s">
        <v>98</v>
      </c>
      <c r="C44" s="1" t="s">
        <v>9</v>
      </c>
      <c r="D44" s="1">
        <v>1</v>
      </c>
      <c r="E44" s="2">
        <v>8</v>
      </c>
      <c r="F44" s="2"/>
      <c r="H44" s="1" t="s">
        <v>101</v>
      </c>
      <c r="I44" s="1">
        <v>10</v>
      </c>
    </row>
    <row r="45" spans="2:10" ht="13.2" x14ac:dyDescent="0.25">
      <c r="B45" s="1" t="s">
        <v>102</v>
      </c>
      <c r="C45" s="1" t="s">
        <v>47</v>
      </c>
      <c r="D45" s="1">
        <v>1</v>
      </c>
      <c r="E45" s="2">
        <v>9</v>
      </c>
      <c r="F45" s="2">
        <v>1</v>
      </c>
      <c r="G45" s="1" t="s">
        <v>103</v>
      </c>
      <c r="H45" s="1" t="s">
        <v>104</v>
      </c>
      <c r="I45" s="1">
        <v>10</v>
      </c>
    </row>
    <row r="46" spans="2:10" ht="13.2" hidden="1" x14ac:dyDescent="0.25">
      <c r="B46" s="1" t="s">
        <v>102</v>
      </c>
      <c r="C46" s="1" t="s">
        <v>9</v>
      </c>
      <c r="D46" s="1">
        <v>1</v>
      </c>
      <c r="E46" s="2">
        <v>9</v>
      </c>
      <c r="F46" s="2"/>
      <c r="H46" s="1" t="s">
        <v>105</v>
      </c>
      <c r="I46" s="1">
        <v>10</v>
      </c>
    </row>
    <row r="47" spans="2:10" ht="13.2" x14ac:dyDescent="0.25">
      <c r="B47" s="1" t="s">
        <v>106</v>
      </c>
      <c r="C47" s="1" t="s">
        <v>107</v>
      </c>
      <c r="D47" s="1">
        <v>1</v>
      </c>
      <c r="E47" s="2">
        <v>8</v>
      </c>
      <c r="F47" s="2">
        <v>1</v>
      </c>
      <c r="G47" s="1" t="s">
        <v>108</v>
      </c>
      <c r="H47" s="1" t="s">
        <v>109</v>
      </c>
      <c r="I47" s="1">
        <v>8</v>
      </c>
      <c r="J47" t="s">
        <v>489</v>
      </c>
    </row>
    <row r="48" spans="2:10" ht="13.2" hidden="1" x14ac:dyDescent="0.25">
      <c r="B48" s="1" t="s">
        <v>106</v>
      </c>
      <c r="C48" s="1" t="s">
        <v>9</v>
      </c>
      <c r="D48" s="1">
        <v>1</v>
      </c>
      <c r="E48" s="2">
        <v>8</v>
      </c>
      <c r="F48" s="2"/>
      <c r="H48" s="1" t="s">
        <v>110</v>
      </c>
      <c r="I48" s="1">
        <v>8</v>
      </c>
    </row>
    <row r="49" spans="2:9" ht="13.2" x14ac:dyDescent="0.25">
      <c r="B49" s="1" t="s">
        <v>111</v>
      </c>
      <c r="C49" s="1" t="s">
        <v>112</v>
      </c>
      <c r="D49" s="1">
        <v>1</v>
      </c>
      <c r="E49" s="2">
        <v>8</v>
      </c>
      <c r="F49" s="2">
        <v>1</v>
      </c>
      <c r="G49" s="1" t="s">
        <v>113</v>
      </c>
      <c r="H49" s="1" t="s">
        <v>114</v>
      </c>
      <c r="I49" s="1">
        <v>10</v>
      </c>
    </row>
    <row r="50" spans="2:9" ht="13.2" hidden="1" x14ac:dyDescent="0.25">
      <c r="B50" s="1" t="s">
        <v>111</v>
      </c>
      <c r="C50" s="1" t="s">
        <v>9</v>
      </c>
      <c r="D50" s="1">
        <v>1</v>
      </c>
      <c r="E50" s="2">
        <v>8</v>
      </c>
      <c r="F50" s="2"/>
      <c r="H50" s="1" t="s">
        <v>115</v>
      </c>
      <c r="I50" s="1">
        <v>10</v>
      </c>
    </row>
    <row r="51" spans="2:9" ht="13.2" x14ac:dyDescent="0.25">
      <c r="B51" s="1" t="s">
        <v>116</v>
      </c>
      <c r="C51" s="1" t="s">
        <v>117</v>
      </c>
      <c r="D51" s="1">
        <v>1</v>
      </c>
      <c r="E51" s="2">
        <v>6</v>
      </c>
      <c r="F51" s="2">
        <v>1</v>
      </c>
      <c r="G51" s="1" t="s">
        <v>118</v>
      </c>
      <c r="H51" s="1" t="s">
        <v>119</v>
      </c>
      <c r="I51" s="1">
        <v>10</v>
      </c>
    </row>
    <row r="52" spans="2:9" ht="13.2" x14ac:dyDescent="0.25">
      <c r="B52" s="1" t="s">
        <v>116</v>
      </c>
      <c r="C52" s="1" t="s">
        <v>120</v>
      </c>
      <c r="D52" s="1">
        <v>1</v>
      </c>
      <c r="E52" s="2">
        <v>7</v>
      </c>
      <c r="F52" s="2">
        <v>1</v>
      </c>
      <c r="G52" s="1" t="s">
        <v>121</v>
      </c>
      <c r="H52" s="1" t="s">
        <v>122</v>
      </c>
      <c r="I52" s="1">
        <v>10</v>
      </c>
    </row>
    <row r="53" spans="2:9" ht="13.2" hidden="1" x14ac:dyDescent="0.25">
      <c r="B53" s="1" t="s">
        <v>116</v>
      </c>
      <c r="C53" s="1" t="s">
        <v>9</v>
      </c>
      <c r="D53" s="1">
        <v>1</v>
      </c>
      <c r="E53" s="2">
        <v>7</v>
      </c>
      <c r="F53" s="2"/>
      <c r="H53" s="1" t="s">
        <v>123</v>
      </c>
      <c r="I53" s="1">
        <v>10</v>
      </c>
    </row>
    <row r="54" spans="2:9" ht="13.2" x14ac:dyDescent="0.25">
      <c r="B54" s="1" t="s">
        <v>124</v>
      </c>
      <c r="C54" s="1" t="s">
        <v>125</v>
      </c>
      <c r="D54" s="1">
        <v>1</v>
      </c>
      <c r="E54" s="2">
        <v>7</v>
      </c>
      <c r="F54" s="2">
        <v>1</v>
      </c>
      <c r="G54" s="1" t="s">
        <v>62</v>
      </c>
      <c r="H54" s="1" t="s">
        <v>126</v>
      </c>
      <c r="I54" s="1">
        <v>10</v>
      </c>
    </row>
    <row r="55" spans="2:9" ht="13.2" hidden="1" x14ac:dyDescent="0.25">
      <c r="B55" s="1" t="s">
        <v>124</v>
      </c>
      <c r="C55" s="1" t="s">
        <v>9</v>
      </c>
      <c r="D55" s="1">
        <v>1</v>
      </c>
      <c r="E55" s="2">
        <v>7</v>
      </c>
      <c r="F55" s="2"/>
      <c r="H55" s="1" t="s">
        <v>127</v>
      </c>
      <c r="I55" s="1">
        <v>10</v>
      </c>
    </row>
    <row r="56" spans="2:9" ht="13.2" x14ac:dyDescent="0.25">
      <c r="B56" s="1" t="s">
        <v>128</v>
      </c>
      <c r="C56" s="1" t="s">
        <v>129</v>
      </c>
      <c r="D56" s="1">
        <v>1</v>
      </c>
      <c r="E56" s="2">
        <v>7</v>
      </c>
      <c r="F56" s="2">
        <v>1</v>
      </c>
      <c r="G56" s="1" t="s">
        <v>113</v>
      </c>
      <c r="H56" s="1" t="s">
        <v>130</v>
      </c>
      <c r="I56" s="1">
        <v>10</v>
      </c>
    </row>
    <row r="57" spans="2:9" ht="13.2" hidden="1" x14ac:dyDescent="0.25">
      <c r="B57" s="1" t="s">
        <v>128</v>
      </c>
      <c r="C57" s="1" t="s">
        <v>9</v>
      </c>
      <c r="D57" s="1">
        <v>1</v>
      </c>
      <c r="E57" s="2">
        <v>7</v>
      </c>
      <c r="F57" s="2"/>
      <c r="H57" s="1" t="s">
        <v>131</v>
      </c>
      <c r="I57" s="1">
        <v>10</v>
      </c>
    </row>
    <row r="58" spans="2:9" ht="13.2" x14ac:dyDescent="0.25">
      <c r="B58" s="1" t="s">
        <v>132</v>
      </c>
      <c r="C58" s="1" t="s">
        <v>112</v>
      </c>
      <c r="D58" s="1">
        <v>1</v>
      </c>
      <c r="E58" s="2">
        <v>7</v>
      </c>
      <c r="F58" s="2">
        <v>1</v>
      </c>
      <c r="G58" s="1" t="s">
        <v>113</v>
      </c>
      <c r="H58" s="1" t="s">
        <v>133</v>
      </c>
      <c r="I58" s="1">
        <v>10</v>
      </c>
    </row>
    <row r="59" spans="2:9" ht="13.2" hidden="1" x14ac:dyDescent="0.25">
      <c r="B59" s="1" t="s">
        <v>132</v>
      </c>
      <c r="C59" s="1" t="s">
        <v>9</v>
      </c>
      <c r="D59" s="1">
        <v>1</v>
      </c>
      <c r="E59" s="2">
        <v>7</v>
      </c>
      <c r="F59" s="2"/>
      <c r="H59" s="1" t="s">
        <v>134</v>
      </c>
      <c r="I59" s="1">
        <v>10</v>
      </c>
    </row>
    <row r="60" spans="2:9" ht="13.2" x14ac:dyDescent="0.25">
      <c r="B60" s="1" t="s">
        <v>135</v>
      </c>
      <c r="C60" s="1" t="s">
        <v>136</v>
      </c>
      <c r="D60" s="1">
        <v>1</v>
      </c>
      <c r="E60" s="2">
        <v>5</v>
      </c>
      <c r="F60" s="2">
        <v>1</v>
      </c>
      <c r="G60" s="1" t="s">
        <v>62</v>
      </c>
      <c r="H60" s="1" t="s">
        <v>137</v>
      </c>
      <c r="I60" s="1">
        <v>10</v>
      </c>
    </row>
    <row r="61" spans="2:9" ht="13.2" hidden="1" x14ac:dyDescent="0.25">
      <c r="B61" s="1" t="s">
        <v>135</v>
      </c>
      <c r="C61" s="1" t="s">
        <v>9</v>
      </c>
      <c r="D61" s="1">
        <v>1</v>
      </c>
      <c r="E61" s="2">
        <v>5</v>
      </c>
      <c r="F61" s="2"/>
      <c r="H61" s="1" t="s">
        <v>138</v>
      </c>
      <c r="I61" s="1">
        <v>10</v>
      </c>
    </row>
    <row r="62" spans="2:9" ht="13.2" x14ac:dyDescent="0.25">
      <c r="B62" s="1" t="s">
        <v>139</v>
      </c>
      <c r="C62" s="1" t="s">
        <v>112</v>
      </c>
      <c r="D62" s="1">
        <v>1</v>
      </c>
      <c r="E62" s="2">
        <v>8</v>
      </c>
      <c r="F62" s="2">
        <v>1</v>
      </c>
      <c r="G62" s="1" t="s">
        <v>62</v>
      </c>
      <c r="H62" s="1" t="s">
        <v>140</v>
      </c>
      <c r="I62" s="1">
        <v>10</v>
      </c>
    </row>
    <row r="63" spans="2:9" ht="13.2" hidden="1" x14ac:dyDescent="0.25">
      <c r="B63" s="1" t="s">
        <v>139</v>
      </c>
      <c r="C63" s="1" t="s">
        <v>9</v>
      </c>
      <c r="D63" s="1">
        <v>1</v>
      </c>
      <c r="E63" s="2">
        <v>8</v>
      </c>
      <c r="F63" s="2"/>
      <c r="H63" s="1" t="s">
        <v>141</v>
      </c>
      <c r="I63" s="1">
        <v>10</v>
      </c>
    </row>
    <row r="64" spans="2:9" ht="13.2" x14ac:dyDescent="0.25">
      <c r="B64" s="1" t="s">
        <v>142</v>
      </c>
      <c r="C64" s="1" t="s">
        <v>143</v>
      </c>
      <c r="D64" s="1">
        <v>1</v>
      </c>
      <c r="E64" s="2">
        <v>6</v>
      </c>
      <c r="F64" s="2">
        <v>1</v>
      </c>
      <c r="G64" s="1" t="s">
        <v>144</v>
      </c>
      <c r="H64" s="1" t="s">
        <v>145</v>
      </c>
      <c r="I64" s="1">
        <v>10</v>
      </c>
    </row>
    <row r="65" spans="2:10" ht="13.2" x14ac:dyDescent="0.25">
      <c r="B65" s="1" t="s">
        <v>142</v>
      </c>
      <c r="C65" s="1" t="s">
        <v>146</v>
      </c>
      <c r="D65" s="1">
        <v>1</v>
      </c>
      <c r="E65" s="2">
        <v>5</v>
      </c>
      <c r="F65" s="2">
        <v>1</v>
      </c>
      <c r="G65" s="1" t="s">
        <v>144</v>
      </c>
      <c r="H65" s="1" t="s">
        <v>147</v>
      </c>
      <c r="I65" s="1">
        <v>10</v>
      </c>
    </row>
    <row r="66" spans="2:10" ht="13.2" hidden="1" x14ac:dyDescent="0.25">
      <c r="B66" s="1" t="s">
        <v>142</v>
      </c>
      <c r="C66" s="1" t="s">
        <v>9</v>
      </c>
      <c r="D66" s="1">
        <v>1</v>
      </c>
      <c r="E66" s="2">
        <v>6</v>
      </c>
      <c r="F66" s="2"/>
      <c r="H66" s="1" t="s">
        <v>148</v>
      </c>
      <c r="I66" s="1">
        <v>10</v>
      </c>
    </row>
    <row r="67" spans="2:10" ht="13.2" x14ac:dyDescent="0.25">
      <c r="B67" s="1" t="s">
        <v>149</v>
      </c>
      <c r="C67" s="1" t="s">
        <v>150</v>
      </c>
      <c r="D67" s="1">
        <v>1</v>
      </c>
      <c r="E67" s="2">
        <v>6</v>
      </c>
      <c r="F67" s="2">
        <v>1</v>
      </c>
      <c r="G67" s="1" t="s">
        <v>62</v>
      </c>
      <c r="H67" s="1" t="s">
        <v>151</v>
      </c>
      <c r="I67" s="1">
        <v>10</v>
      </c>
    </row>
    <row r="68" spans="2:10" ht="13.2" hidden="1" x14ac:dyDescent="0.25">
      <c r="B68" s="1" t="s">
        <v>149</v>
      </c>
      <c r="C68" s="1" t="s">
        <v>9</v>
      </c>
      <c r="D68" s="1">
        <v>1</v>
      </c>
      <c r="E68" s="2">
        <v>6</v>
      </c>
      <c r="F68" s="2"/>
      <c r="H68" s="1" t="s">
        <v>152</v>
      </c>
      <c r="I68" s="1">
        <v>10</v>
      </c>
    </row>
    <row r="69" spans="2:10" ht="13.2" x14ac:dyDescent="0.25">
      <c r="B69" s="1" t="s">
        <v>153</v>
      </c>
      <c r="C69" s="1" t="s">
        <v>154</v>
      </c>
      <c r="D69" s="1">
        <v>1</v>
      </c>
      <c r="E69" s="2">
        <v>7</v>
      </c>
      <c r="F69" s="2">
        <v>1</v>
      </c>
      <c r="G69" s="1" t="s">
        <v>62</v>
      </c>
      <c r="H69" s="1" t="s">
        <v>155</v>
      </c>
      <c r="I69" s="1">
        <v>10</v>
      </c>
    </row>
    <row r="70" spans="2:10" ht="13.2" hidden="1" x14ac:dyDescent="0.25">
      <c r="B70" s="1" t="s">
        <v>153</v>
      </c>
      <c r="C70" s="1" t="s">
        <v>9</v>
      </c>
      <c r="D70" s="1">
        <v>1</v>
      </c>
      <c r="E70" s="2">
        <v>7</v>
      </c>
      <c r="F70" s="2"/>
      <c r="H70" s="1" t="s">
        <v>156</v>
      </c>
      <c r="I70" s="1">
        <v>10</v>
      </c>
    </row>
    <row r="71" spans="2:10" ht="13.2" x14ac:dyDescent="0.25">
      <c r="B71" s="1" t="s">
        <v>157</v>
      </c>
      <c r="C71" s="1" t="s">
        <v>158</v>
      </c>
      <c r="D71" s="1">
        <v>1</v>
      </c>
      <c r="E71" s="2">
        <v>10</v>
      </c>
      <c r="F71" s="2">
        <v>1</v>
      </c>
      <c r="G71" s="1" t="s">
        <v>113</v>
      </c>
      <c r="H71" s="1" t="s">
        <v>159</v>
      </c>
      <c r="I71" s="1">
        <v>9</v>
      </c>
      <c r="J71" t="s">
        <v>490</v>
      </c>
    </row>
    <row r="72" spans="2:10" ht="13.2" hidden="1" x14ac:dyDescent="0.25">
      <c r="B72" s="1" t="s">
        <v>157</v>
      </c>
      <c r="C72" s="1" t="s">
        <v>9</v>
      </c>
      <c r="D72" s="1">
        <v>1</v>
      </c>
      <c r="E72" s="2">
        <v>10</v>
      </c>
      <c r="F72" s="2"/>
      <c r="H72" s="1" t="s">
        <v>160</v>
      </c>
      <c r="I72" s="1">
        <v>9</v>
      </c>
    </row>
    <row r="73" spans="2:10" ht="13.2" x14ac:dyDescent="0.25">
      <c r="B73" s="1" t="s">
        <v>161</v>
      </c>
      <c r="C73" s="1" t="s">
        <v>162</v>
      </c>
      <c r="D73" s="1">
        <v>1</v>
      </c>
      <c r="E73" s="2">
        <v>9</v>
      </c>
      <c r="F73" s="2">
        <v>1</v>
      </c>
      <c r="G73" s="1" t="s">
        <v>103</v>
      </c>
      <c r="H73" s="1" t="s">
        <v>163</v>
      </c>
      <c r="I73" s="1">
        <v>10</v>
      </c>
    </row>
    <row r="74" spans="2:10" ht="13.2" x14ac:dyDescent="0.25">
      <c r="B74" s="1" t="s">
        <v>161</v>
      </c>
      <c r="C74" s="1" t="s">
        <v>164</v>
      </c>
      <c r="D74" s="1">
        <v>1</v>
      </c>
      <c r="E74" s="2">
        <v>7</v>
      </c>
      <c r="F74" s="2">
        <v>1</v>
      </c>
      <c r="G74" s="1" t="s">
        <v>165</v>
      </c>
      <c r="H74" s="1" t="s">
        <v>166</v>
      </c>
      <c r="I74" s="1">
        <v>10</v>
      </c>
    </row>
    <row r="75" spans="2:10" ht="13.2" hidden="1" x14ac:dyDescent="0.25">
      <c r="B75" s="1" t="s">
        <v>161</v>
      </c>
      <c r="C75" s="1" t="s">
        <v>9</v>
      </c>
      <c r="D75" s="1">
        <v>1</v>
      </c>
      <c r="E75" s="2">
        <v>9</v>
      </c>
      <c r="F75" s="2"/>
      <c r="H75" s="1" t="s">
        <v>167</v>
      </c>
      <c r="I75" s="1">
        <v>10</v>
      </c>
    </row>
    <row r="76" spans="2:10" ht="13.2" x14ac:dyDescent="0.25">
      <c r="B76" s="1" t="s">
        <v>168</v>
      </c>
      <c r="C76" s="1" t="s">
        <v>169</v>
      </c>
      <c r="D76" s="1">
        <v>1</v>
      </c>
      <c r="E76" s="2">
        <v>6</v>
      </c>
      <c r="F76" s="2">
        <v>1</v>
      </c>
      <c r="G76" s="1" t="s">
        <v>170</v>
      </c>
      <c r="H76" s="1" t="s">
        <v>171</v>
      </c>
      <c r="I76" s="1">
        <v>10</v>
      </c>
    </row>
    <row r="77" spans="2:10" ht="13.2" hidden="1" x14ac:dyDescent="0.25">
      <c r="B77" s="1" t="s">
        <v>168</v>
      </c>
      <c r="C77" s="1" t="s">
        <v>9</v>
      </c>
      <c r="D77" s="1">
        <v>1</v>
      </c>
      <c r="E77" s="2">
        <v>6</v>
      </c>
      <c r="F77" s="2"/>
      <c r="H77" s="1" t="s">
        <v>172</v>
      </c>
      <c r="I77" s="1">
        <v>10</v>
      </c>
    </row>
    <row r="78" spans="2:10" ht="13.2" x14ac:dyDescent="0.25">
      <c r="B78" s="1" t="s">
        <v>173</v>
      </c>
      <c r="C78" s="1" t="s">
        <v>174</v>
      </c>
      <c r="D78" s="1">
        <v>1</v>
      </c>
      <c r="E78" s="2">
        <v>3</v>
      </c>
      <c r="F78" s="2">
        <v>1</v>
      </c>
      <c r="G78" s="1" t="s">
        <v>22</v>
      </c>
      <c r="H78" s="1" t="s">
        <v>175</v>
      </c>
      <c r="I78" s="1">
        <v>10</v>
      </c>
    </row>
    <row r="79" spans="2:10" ht="13.2" hidden="1" x14ac:dyDescent="0.25">
      <c r="B79" s="1" t="s">
        <v>173</v>
      </c>
      <c r="C79" s="1" t="s">
        <v>9</v>
      </c>
      <c r="D79" s="1">
        <v>1</v>
      </c>
      <c r="E79" s="2">
        <v>3</v>
      </c>
      <c r="F79" s="2"/>
      <c r="H79" s="1" t="s">
        <v>176</v>
      </c>
      <c r="I79" s="1">
        <v>10</v>
      </c>
    </row>
    <row r="80" spans="2:10" ht="13.2" x14ac:dyDescent="0.25">
      <c r="B80" s="1" t="s">
        <v>177</v>
      </c>
      <c r="C80" s="1" t="s">
        <v>112</v>
      </c>
      <c r="D80" s="1">
        <v>1</v>
      </c>
      <c r="E80" s="2">
        <v>9</v>
      </c>
      <c r="F80" s="2">
        <v>1</v>
      </c>
      <c r="G80" s="1" t="s">
        <v>62</v>
      </c>
      <c r="H80" s="1" t="s">
        <v>178</v>
      </c>
      <c r="I80" s="1">
        <v>10</v>
      </c>
    </row>
    <row r="81" spans="2:10" ht="13.2" hidden="1" x14ac:dyDescent="0.25">
      <c r="B81" s="1" t="s">
        <v>177</v>
      </c>
      <c r="C81" s="1" t="s">
        <v>9</v>
      </c>
      <c r="D81" s="1">
        <v>1</v>
      </c>
      <c r="E81" s="2">
        <v>9</v>
      </c>
      <c r="F81" s="2"/>
      <c r="H81" s="1" t="s">
        <v>179</v>
      </c>
      <c r="I81" s="1">
        <v>10</v>
      </c>
    </row>
    <row r="82" spans="2:10" ht="13.2" x14ac:dyDescent="0.25">
      <c r="B82" s="1" t="s">
        <v>180</v>
      </c>
      <c r="C82" s="1" t="s">
        <v>181</v>
      </c>
      <c r="D82" s="1">
        <v>1</v>
      </c>
      <c r="E82" s="2">
        <v>7</v>
      </c>
      <c r="F82" s="2">
        <v>1</v>
      </c>
      <c r="G82" s="1" t="s">
        <v>62</v>
      </c>
      <c r="H82" s="1" t="s">
        <v>182</v>
      </c>
      <c r="I82" s="1">
        <v>10</v>
      </c>
    </row>
    <row r="83" spans="2:10" ht="13.2" hidden="1" x14ac:dyDescent="0.25">
      <c r="B83" s="1" t="s">
        <v>180</v>
      </c>
      <c r="C83" s="1" t="s">
        <v>9</v>
      </c>
      <c r="D83" s="1">
        <v>1</v>
      </c>
      <c r="E83" s="2">
        <v>7</v>
      </c>
      <c r="F83" s="2"/>
      <c r="H83" s="1" t="s">
        <v>183</v>
      </c>
      <c r="I83" s="1">
        <v>10</v>
      </c>
    </row>
    <row r="84" spans="2:10" ht="13.2" x14ac:dyDescent="0.25">
      <c r="B84" s="1" t="s">
        <v>184</v>
      </c>
      <c r="C84" s="1" t="s">
        <v>185</v>
      </c>
      <c r="D84" s="1">
        <v>1</v>
      </c>
      <c r="E84" s="2">
        <v>6</v>
      </c>
      <c r="F84" s="2">
        <v>1</v>
      </c>
      <c r="G84" s="1" t="s">
        <v>48</v>
      </c>
      <c r="H84" s="1" t="s">
        <v>186</v>
      </c>
      <c r="I84" s="1">
        <v>10</v>
      </c>
    </row>
    <row r="85" spans="2:10" ht="13.2" hidden="1" x14ac:dyDescent="0.25">
      <c r="B85" s="1" t="s">
        <v>184</v>
      </c>
      <c r="C85" s="1" t="s">
        <v>9</v>
      </c>
      <c r="D85" s="1">
        <v>1</v>
      </c>
      <c r="E85" s="2">
        <v>6</v>
      </c>
      <c r="F85" s="2"/>
      <c r="H85" s="1" t="s">
        <v>187</v>
      </c>
      <c r="I85" s="1">
        <v>10</v>
      </c>
    </row>
    <row r="86" spans="2:10" ht="13.2" x14ac:dyDescent="0.25">
      <c r="B86" s="1" t="s">
        <v>188</v>
      </c>
      <c r="C86" s="1" t="s">
        <v>112</v>
      </c>
      <c r="D86" s="1">
        <v>1</v>
      </c>
      <c r="E86" s="2">
        <v>7</v>
      </c>
      <c r="F86" s="2">
        <v>1</v>
      </c>
      <c r="G86" s="1" t="s">
        <v>144</v>
      </c>
      <c r="H86" s="1" t="s">
        <v>189</v>
      </c>
      <c r="I86" s="8">
        <v>10</v>
      </c>
    </row>
    <row r="87" spans="2:10" ht="13.2" hidden="1" x14ac:dyDescent="0.25">
      <c r="B87" s="1" t="s">
        <v>188</v>
      </c>
      <c r="C87" s="1" t="s">
        <v>9</v>
      </c>
      <c r="D87" s="1">
        <v>1</v>
      </c>
      <c r="E87" s="2">
        <v>7</v>
      </c>
      <c r="F87" s="2"/>
      <c r="H87" s="1" t="s">
        <v>190</v>
      </c>
      <c r="I87" s="8">
        <v>10</v>
      </c>
    </row>
    <row r="88" spans="2:10" ht="13.2" x14ac:dyDescent="0.25">
      <c r="B88" s="1" t="s">
        <v>191</v>
      </c>
      <c r="C88" s="1" t="s">
        <v>192</v>
      </c>
      <c r="D88" s="1">
        <v>0</v>
      </c>
      <c r="E88" s="2">
        <v>7</v>
      </c>
      <c r="F88" s="2">
        <v>0</v>
      </c>
      <c r="G88" s="1" t="s">
        <v>193</v>
      </c>
      <c r="H88" s="1" t="s">
        <v>194</v>
      </c>
      <c r="I88" s="8">
        <v>3</v>
      </c>
      <c r="J88" s="9" t="s">
        <v>496</v>
      </c>
    </row>
    <row r="89" spans="2:10" ht="13.2" hidden="1" x14ac:dyDescent="0.25">
      <c r="B89" s="1" t="s">
        <v>191</v>
      </c>
      <c r="C89" s="1" t="s">
        <v>9</v>
      </c>
      <c r="D89" s="13">
        <v>0</v>
      </c>
      <c r="E89" s="2">
        <v>7</v>
      </c>
      <c r="F89" s="2"/>
      <c r="H89" s="1" t="s">
        <v>195</v>
      </c>
      <c r="I89" s="8">
        <v>2</v>
      </c>
    </row>
    <row r="90" spans="2:10" ht="13.2" x14ac:dyDescent="0.25">
      <c r="B90" s="1" t="s">
        <v>196</v>
      </c>
      <c r="C90" s="1" t="s">
        <v>197</v>
      </c>
      <c r="D90" s="1">
        <v>1</v>
      </c>
      <c r="E90" s="2">
        <v>4</v>
      </c>
      <c r="F90" s="2">
        <v>1</v>
      </c>
      <c r="G90" s="1" t="s">
        <v>198</v>
      </c>
      <c r="H90" s="1" t="s">
        <v>199</v>
      </c>
      <c r="I90" s="8">
        <v>10</v>
      </c>
    </row>
    <row r="91" spans="2:10" ht="13.2" hidden="1" x14ac:dyDescent="0.25">
      <c r="B91" s="1" t="s">
        <v>196</v>
      </c>
      <c r="C91" s="1" t="s">
        <v>9</v>
      </c>
      <c r="D91" s="1">
        <v>1</v>
      </c>
      <c r="E91" s="2">
        <v>4</v>
      </c>
      <c r="F91" s="2"/>
      <c r="H91" s="1" t="s">
        <v>200</v>
      </c>
      <c r="I91" s="8">
        <v>10</v>
      </c>
    </row>
    <row r="92" spans="2:10" ht="13.2" x14ac:dyDescent="0.25">
      <c r="B92" s="1" t="s">
        <v>201</v>
      </c>
      <c r="C92" s="1" t="s">
        <v>202</v>
      </c>
      <c r="D92" s="1">
        <v>0</v>
      </c>
      <c r="E92" s="2">
        <v>8</v>
      </c>
      <c r="F92" s="2">
        <v>1</v>
      </c>
      <c r="G92" s="1" t="s">
        <v>53</v>
      </c>
      <c r="H92" s="1" t="s">
        <v>203</v>
      </c>
      <c r="I92" s="8">
        <v>2</v>
      </c>
      <c r="J92" s="9" t="s">
        <v>499</v>
      </c>
    </row>
    <row r="93" spans="2:10" ht="13.2" hidden="1" x14ac:dyDescent="0.25">
      <c r="B93" s="1" t="s">
        <v>201</v>
      </c>
      <c r="C93" s="1" t="s">
        <v>9</v>
      </c>
      <c r="D93" s="13">
        <v>0</v>
      </c>
      <c r="E93" s="2">
        <v>8</v>
      </c>
      <c r="F93" s="2"/>
      <c r="H93" s="1" t="s">
        <v>204</v>
      </c>
      <c r="I93" s="8">
        <v>2</v>
      </c>
    </row>
    <row r="94" spans="2:10" ht="13.2" x14ac:dyDescent="0.25">
      <c r="B94" s="1" t="s">
        <v>205</v>
      </c>
      <c r="C94" s="1" t="s">
        <v>206</v>
      </c>
      <c r="D94" s="1">
        <v>1</v>
      </c>
      <c r="E94" s="2">
        <v>4</v>
      </c>
      <c r="F94" s="2">
        <v>1</v>
      </c>
      <c r="G94" s="1" t="s">
        <v>7</v>
      </c>
      <c r="H94" s="1" t="s">
        <v>207</v>
      </c>
      <c r="I94" s="8">
        <v>10</v>
      </c>
    </row>
    <row r="95" spans="2:10" ht="13.2" hidden="1" x14ac:dyDescent="0.25">
      <c r="B95" s="1" t="s">
        <v>205</v>
      </c>
      <c r="C95" s="1" t="s">
        <v>9</v>
      </c>
      <c r="D95" s="1">
        <v>1</v>
      </c>
      <c r="E95" s="2">
        <v>4</v>
      </c>
      <c r="F95" s="2"/>
      <c r="H95" s="1" t="s">
        <v>208</v>
      </c>
      <c r="I95" s="8">
        <v>10</v>
      </c>
    </row>
    <row r="96" spans="2:10" ht="13.2" x14ac:dyDescent="0.25">
      <c r="B96" s="1" t="s">
        <v>209</v>
      </c>
      <c r="C96" s="1" t="s">
        <v>210</v>
      </c>
      <c r="D96" s="1">
        <v>1</v>
      </c>
      <c r="E96" s="2">
        <v>4</v>
      </c>
      <c r="F96" s="2">
        <v>1</v>
      </c>
      <c r="G96" s="1" t="s">
        <v>7</v>
      </c>
      <c r="H96" s="1" t="s">
        <v>211</v>
      </c>
      <c r="I96" s="8">
        <v>10</v>
      </c>
    </row>
    <row r="97" spans="2:10" ht="13.2" hidden="1" x14ac:dyDescent="0.25">
      <c r="B97" s="1" t="s">
        <v>209</v>
      </c>
      <c r="C97" s="1" t="s">
        <v>9</v>
      </c>
      <c r="D97" s="1">
        <v>1</v>
      </c>
      <c r="E97" s="2">
        <v>4</v>
      </c>
      <c r="F97" s="2"/>
      <c r="H97" s="1" t="s">
        <v>212</v>
      </c>
      <c r="I97" s="8">
        <v>10</v>
      </c>
    </row>
    <row r="98" spans="2:10" ht="13.2" x14ac:dyDescent="0.25">
      <c r="B98" s="1" t="s">
        <v>213</v>
      </c>
      <c r="C98" s="1" t="s">
        <v>214</v>
      </c>
      <c r="D98" s="1">
        <v>1</v>
      </c>
      <c r="E98" s="2">
        <v>8</v>
      </c>
      <c r="F98" s="2">
        <v>1</v>
      </c>
      <c r="G98" s="1" t="s">
        <v>215</v>
      </c>
      <c r="H98" s="1" t="s">
        <v>216</v>
      </c>
      <c r="I98" s="8">
        <v>10</v>
      </c>
    </row>
    <row r="99" spans="2:10" ht="13.2" hidden="1" x14ac:dyDescent="0.25">
      <c r="B99" s="1" t="s">
        <v>213</v>
      </c>
      <c r="C99" s="1" t="s">
        <v>9</v>
      </c>
      <c r="D99" s="1">
        <v>1</v>
      </c>
      <c r="E99" s="2">
        <v>8</v>
      </c>
      <c r="F99" s="2"/>
      <c r="H99" s="1" t="s">
        <v>217</v>
      </c>
      <c r="I99" s="8">
        <v>10</v>
      </c>
    </row>
    <row r="100" spans="2:10" ht="13.2" x14ac:dyDescent="0.25">
      <c r="B100" s="1" t="s">
        <v>218</v>
      </c>
      <c r="C100" s="1" t="s">
        <v>219</v>
      </c>
      <c r="D100" s="1">
        <v>1</v>
      </c>
      <c r="E100" s="2">
        <v>7</v>
      </c>
      <c r="F100" s="2">
        <v>1</v>
      </c>
      <c r="G100" s="1" t="s">
        <v>215</v>
      </c>
      <c r="H100" s="1" t="s">
        <v>220</v>
      </c>
      <c r="I100" s="8">
        <v>10</v>
      </c>
    </row>
    <row r="101" spans="2:10" ht="13.2" hidden="1" x14ac:dyDescent="0.25">
      <c r="B101" s="1" t="s">
        <v>218</v>
      </c>
      <c r="C101" s="1" t="s">
        <v>9</v>
      </c>
      <c r="D101" s="1">
        <v>1</v>
      </c>
      <c r="E101" s="2">
        <v>7</v>
      </c>
      <c r="F101" s="2"/>
      <c r="H101" s="1" t="s">
        <v>221</v>
      </c>
      <c r="I101" s="8">
        <v>10</v>
      </c>
    </row>
    <row r="102" spans="2:10" ht="13.2" x14ac:dyDescent="0.25">
      <c r="B102" s="1" t="s">
        <v>222</v>
      </c>
      <c r="C102" s="1" t="s">
        <v>223</v>
      </c>
      <c r="D102" s="1">
        <v>1</v>
      </c>
      <c r="E102" s="2">
        <v>6</v>
      </c>
      <c r="F102" s="2">
        <v>1</v>
      </c>
      <c r="G102" s="1" t="s">
        <v>7</v>
      </c>
      <c r="H102" s="1" t="s">
        <v>224</v>
      </c>
      <c r="I102" s="8">
        <v>10</v>
      </c>
    </row>
    <row r="103" spans="2:10" ht="13.2" hidden="1" x14ac:dyDescent="0.25">
      <c r="B103" s="1" t="s">
        <v>222</v>
      </c>
      <c r="C103" s="1" t="s">
        <v>9</v>
      </c>
      <c r="D103" s="1">
        <v>1</v>
      </c>
      <c r="E103" s="2">
        <v>6</v>
      </c>
      <c r="F103" s="2"/>
      <c r="H103" s="1" t="s">
        <v>225</v>
      </c>
      <c r="I103" s="8">
        <v>10</v>
      </c>
    </row>
    <row r="104" spans="2:10" ht="13.2" x14ac:dyDescent="0.25">
      <c r="B104" s="1" t="s">
        <v>226</v>
      </c>
      <c r="C104" s="1" t="s">
        <v>227</v>
      </c>
      <c r="D104" s="1">
        <v>1</v>
      </c>
      <c r="E104" s="2">
        <v>7</v>
      </c>
      <c r="F104" s="2">
        <v>1</v>
      </c>
      <c r="G104" s="1" t="s">
        <v>228</v>
      </c>
      <c r="H104" s="1" t="s">
        <v>229</v>
      </c>
      <c r="I104" s="8">
        <v>10</v>
      </c>
    </row>
    <row r="105" spans="2:10" ht="13.2" x14ac:dyDescent="0.25">
      <c r="B105" s="1" t="s">
        <v>226</v>
      </c>
      <c r="C105" s="1" t="s">
        <v>230</v>
      </c>
      <c r="D105" s="1">
        <v>1</v>
      </c>
      <c r="E105" s="2">
        <v>6</v>
      </c>
      <c r="F105" s="2">
        <v>1</v>
      </c>
      <c r="G105" s="1" t="s">
        <v>231</v>
      </c>
      <c r="H105" s="1" t="s">
        <v>232</v>
      </c>
      <c r="I105" s="8">
        <v>10</v>
      </c>
    </row>
    <row r="106" spans="2:10" ht="13.2" x14ac:dyDescent="0.25">
      <c r="B106" s="1" t="s">
        <v>226</v>
      </c>
      <c r="C106" s="1" t="s">
        <v>233</v>
      </c>
      <c r="D106" s="1">
        <v>1</v>
      </c>
      <c r="E106" s="2">
        <v>8</v>
      </c>
      <c r="F106" s="2">
        <v>1</v>
      </c>
      <c r="G106" s="1" t="s">
        <v>228</v>
      </c>
      <c r="H106" s="1" t="s">
        <v>234</v>
      </c>
      <c r="I106" s="8">
        <v>10</v>
      </c>
    </row>
    <row r="107" spans="2:10" ht="13.2" hidden="1" x14ac:dyDescent="0.25">
      <c r="B107" s="1" t="s">
        <v>226</v>
      </c>
      <c r="C107" s="1" t="s">
        <v>9</v>
      </c>
      <c r="D107" s="1">
        <v>1</v>
      </c>
      <c r="E107" s="2">
        <v>7</v>
      </c>
      <c r="F107" s="2"/>
      <c r="H107" s="1" t="s">
        <v>235</v>
      </c>
      <c r="I107" s="8">
        <v>10</v>
      </c>
    </row>
    <row r="108" spans="2:10" ht="13.2" x14ac:dyDescent="0.25">
      <c r="B108" s="1" t="s">
        <v>236</v>
      </c>
      <c r="C108" s="1" t="s">
        <v>237</v>
      </c>
      <c r="D108" s="1">
        <v>1</v>
      </c>
      <c r="E108" s="2">
        <v>5</v>
      </c>
      <c r="F108" s="2">
        <v>1</v>
      </c>
      <c r="G108" s="1" t="s">
        <v>7</v>
      </c>
      <c r="H108" s="1" t="s">
        <v>238</v>
      </c>
      <c r="I108" s="8">
        <v>10</v>
      </c>
    </row>
    <row r="109" spans="2:10" ht="13.2" x14ac:dyDescent="0.25">
      <c r="B109" s="1" t="s">
        <v>236</v>
      </c>
      <c r="C109" s="1" t="s">
        <v>239</v>
      </c>
      <c r="D109" s="1">
        <v>1</v>
      </c>
      <c r="E109" s="2">
        <v>4</v>
      </c>
      <c r="F109" s="2">
        <v>1</v>
      </c>
      <c r="G109" s="1" t="s">
        <v>7</v>
      </c>
      <c r="H109" s="1" t="s">
        <v>240</v>
      </c>
      <c r="I109" s="8">
        <v>10</v>
      </c>
    </row>
    <row r="110" spans="2:10" ht="13.2" hidden="1" x14ac:dyDescent="0.25">
      <c r="B110" s="1" t="s">
        <v>236</v>
      </c>
      <c r="C110" s="1" t="s">
        <v>9</v>
      </c>
      <c r="D110" s="1">
        <v>1</v>
      </c>
      <c r="E110" s="2">
        <v>5</v>
      </c>
      <c r="F110" s="2"/>
      <c r="H110" s="1" t="s">
        <v>241</v>
      </c>
      <c r="I110" s="8">
        <v>10</v>
      </c>
    </row>
    <row r="111" spans="2:10" ht="13.2" x14ac:dyDescent="0.25">
      <c r="B111" s="1" t="s">
        <v>242</v>
      </c>
      <c r="C111" s="1" t="s">
        <v>243</v>
      </c>
      <c r="D111" s="1">
        <v>0</v>
      </c>
      <c r="E111" s="2">
        <v>5</v>
      </c>
      <c r="F111" s="2">
        <v>0</v>
      </c>
      <c r="G111" s="1" t="s">
        <v>7</v>
      </c>
      <c r="H111" s="1" t="s">
        <v>244</v>
      </c>
      <c r="I111" s="8">
        <v>1</v>
      </c>
      <c r="J111" s="9" t="s">
        <v>504</v>
      </c>
    </row>
    <row r="112" spans="2:10" ht="13.2" hidden="1" x14ac:dyDescent="0.25">
      <c r="B112" s="1" t="s">
        <v>242</v>
      </c>
      <c r="C112" s="1" t="s">
        <v>9</v>
      </c>
      <c r="D112" s="13">
        <v>0</v>
      </c>
      <c r="E112" s="2">
        <v>5</v>
      </c>
      <c r="F112" s="2"/>
      <c r="H112" s="1" t="s">
        <v>245</v>
      </c>
      <c r="I112" s="8">
        <v>1</v>
      </c>
    </row>
    <row r="113" spans="2:10" ht="13.2" x14ac:dyDescent="0.25">
      <c r="B113" s="1" t="s">
        <v>246</v>
      </c>
      <c r="C113" s="1" t="s">
        <v>247</v>
      </c>
      <c r="D113" s="1">
        <v>1</v>
      </c>
      <c r="E113" s="2">
        <v>5</v>
      </c>
      <c r="F113" s="2">
        <v>1</v>
      </c>
      <c r="G113" s="1" t="s">
        <v>7</v>
      </c>
      <c r="H113" s="1" t="s">
        <v>248</v>
      </c>
      <c r="I113" s="8">
        <v>10</v>
      </c>
    </row>
    <row r="114" spans="2:10" ht="13.2" hidden="1" x14ac:dyDescent="0.25">
      <c r="B114" s="1" t="s">
        <v>246</v>
      </c>
      <c r="C114" s="1" t="s">
        <v>9</v>
      </c>
      <c r="D114" s="1">
        <v>1</v>
      </c>
      <c r="E114" s="2">
        <v>5</v>
      </c>
      <c r="F114" s="2"/>
      <c r="H114" s="1" t="s">
        <v>249</v>
      </c>
      <c r="I114" s="8">
        <v>10</v>
      </c>
    </row>
    <row r="115" spans="2:10" ht="13.2" x14ac:dyDescent="0.25">
      <c r="B115" s="1" t="s">
        <v>250</v>
      </c>
      <c r="C115" s="1" t="s">
        <v>6</v>
      </c>
      <c r="D115" s="1">
        <v>1</v>
      </c>
      <c r="E115" s="2">
        <v>4</v>
      </c>
      <c r="F115" s="2">
        <v>1</v>
      </c>
      <c r="G115" s="1" t="s">
        <v>7</v>
      </c>
      <c r="H115" s="1" t="s">
        <v>251</v>
      </c>
      <c r="I115" s="8">
        <v>10</v>
      </c>
    </row>
    <row r="116" spans="2:10" ht="13.2" hidden="1" x14ac:dyDescent="0.25">
      <c r="B116" s="1" t="s">
        <v>250</v>
      </c>
      <c r="C116" s="1" t="s">
        <v>9</v>
      </c>
      <c r="D116" s="1">
        <v>1</v>
      </c>
      <c r="E116" s="2">
        <v>4</v>
      </c>
      <c r="F116" s="2"/>
      <c r="H116" s="1" t="s">
        <v>252</v>
      </c>
      <c r="I116" s="8">
        <v>10</v>
      </c>
    </row>
    <row r="117" spans="2:10" ht="13.2" x14ac:dyDescent="0.25">
      <c r="B117" s="1" t="s">
        <v>253</v>
      </c>
      <c r="C117" s="1" t="s">
        <v>254</v>
      </c>
      <c r="D117" s="1">
        <v>1</v>
      </c>
      <c r="E117" s="2">
        <v>6</v>
      </c>
      <c r="F117" s="2">
        <v>1</v>
      </c>
      <c r="G117" s="1" t="s">
        <v>103</v>
      </c>
      <c r="H117" s="1" t="s">
        <v>255</v>
      </c>
      <c r="I117" s="8">
        <v>10</v>
      </c>
    </row>
    <row r="118" spans="2:10" ht="13.2" hidden="1" x14ac:dyDescent="0.25">
      <c r="B118" s="1" t="s">
        <v>253</v>
      </c>
      <c r="C118" s="1" t="s">
        <v>9</v>
      </c>
      <c r="D118" s="1">
        <v>1</v>
      </c>
      <c r="E118" s="2">
        <v>6</v>
      </c>
      <c r="F118" s="2"/>
      <c r="H118" s="1" t="s">
        <v>256</v>
      </c>
      <c r="I118" s="8">
        <v>10</v>
      </c>
    </row>
    <row r="119" spans="2:10" ht="13.2" x14ac:dyDescent="0.25">
      <c r="B119" s="1" t="s">
        <v>257</v>
      </c>
      <c r="C119" s="1" t="s">
        <v>258</v>
      </c>
      <c r="D119" s="1">
        <v>1</v>
      </c>
      <c r="E119" s="2">
        <v>5</v>
      </c>
      <c r="F119" s="2">
        <v>1</v>
      </c>
      <c r="G119" s="1" t="s">
        <v>7</v>
      </c>
      <c r="H119" s="1" t="s">
        <v>259</v>
      </c>
      <c r="I119" s="8">
        <v>7</v>
      </c>
      <c r="J119" s="9" t="s">
        <v>505</v>
      </c>
    </row>
    <row r="120" spans="2:10" ht="13.2" hidden="1" x14ac:dyDescent="0.25">
      <c r="B120" s="1" t="s">
        <v>257</v>
      </c>
      <c r="C120" s="1" t="s">
        <v>9</v>
      </c>
      <c r="D120" s="1">
        <v>1</v>
      </c>
      <c r="E120" s="2">
        <v>5</v>
      </c>
      <c r="F120" s="2"/>
      <c r="H120" s="1" t="s">
        <v>260</v>
      </c>
      <c r="I120" s="8">
        <v>7</v>
      </c>
    </row>
    <row r="121" spans="2:10" ht="13.2" x14ac:dyDescent="0.25">
      <c r="B121" s="1" t="s">
        <v>261</v>
      </c>
      <c r="C121" s="1" t="s">
        <v>262</v>
      </c>
      <c r="D121" s="1">
        <v>1</v>
      </c>
      <c r="E121" s="2">
        <v>6</v>
      </c>
      <c r="F121" s="2">
        <v>1</v>
      </c>
      <c r="G121" s="1" t="s">
        <v>7</v>
      </c>
      <c r="H121" s="1" t="s">
        <v>263</v>
      </c>
      <c r="I121" s="8">
        <v>10</v>
      </c>
    </row>
    <row r="122" spans="2:10" ht="13.2" x14ac:dyDescent="0.25">
      <c r="B122" s="1" t="s">
        <v>261</v>
      </c>
      <c r="C122" s="1" t="s">
        <v>264</v>
      </c>
      <c r="D122" s="1">
        <v>1</v>
      </c>
      <c r="E122" s="2">
        <v>3</v>
      </c>
      <c r="F122" s="2">
        <v>1</v>
      </c>
      <c r="G122" s="1" t="s">
        <v>265</v>
      </c>
      <c r="H122" s="1" t="s">
        <v>266</v>
      </c>
      <c r="I122" s="8">
        <v>10</v>
      </c>
    </row>
    <row r="123" spans="2:10" ht="13.2" hidden="1" x14ac:dyDescent="0.25">
      <c r="B123" s="1" t="s">
        <v>261</v>
      </c>
      <c r="C123" s="1" t="s">
        <v>9</v>
      </c>
      <c r="D123" s="1">
        <v>1</v>
      </c>
      <c r="E123" s="2">
        <v>6</v>
      </c>
      <c r="F123" s="2"/>
      <c r="H123" s="1" t="s">
        <v>267</v>
      </c>
      <c r="I123" s="8">
        <v>10</v>
      </c>
    </row>
    <row r="124" spans="2:10" ht="13.2" x14ac:dyDescent="0.25">
      <c r="B124" s="1" t="s">
        <v>268</v>
      </c>
      <c r="C124" s="1" t="s">
        <v>269</v>
      </c>
      <c r="D124" s="1">
        <v>1</v>
      </c>
      <c r="E124" s="2">
        <v>7</v>
      </c>
      <c r="F124" s="2">
        <v>1</v>
      </c>
      <c r="G124" s="1" t="s">
        <v>103</v>
      </c>
      <c r="H124" s="1" t="s">
        <v>270</v>
      </c>
      <c r="I124" s="8">
        <v>10</v>
      </c>
    </row>
    <row r="125" spans="2:10" ht="13.2" hidden="1" x14ac:dyDescent="0.25">
      <c r="B125" s="1" t="s">
        <v>268</v>
      </c>
      <c r="C125" s="1" t="s">
        <v>9</v>
      </c>
      <c r="D125" s="1">
        <v>1</v>
      </c>
      <c r="E125" s="2">
        <v>7</v>
      </c>
      <c r="F125" s="2"/>
      <c r="H125" s="1" t="s">
        <v>271</v>
      </c>
      <c r="I125" s="8">
        <v>10</v>
      </c>
    </row>
    <row r="126" spans="2:10" ht="13.2" x14ac:dyDescent="0.25">
      <c r="B126" s="1" t="s">
        <v>272</v>
      </c>
      <c r="C126" s="1" t="s">
        <v>219</v>
      </c>
      <c r="D126" s="1">
        <v>1</v>
      </c>
      <c r="E126" s="2">
        <v>8</v>
      </c>
      <c r="F126" s="2">
        <v>1</v>
      </c>
      <c r="G126" s="1" t="s">
        <v>273</v>
      </c>
      <c r="H126" s="1" t="s">
        <v>274</v>
      </c>
      <c r="I126" s="8">
        <v>10</v>
      </c>
    </row>
    <row r="127" spans="2:10" ht="13.2" hidden="1" x14ac:dyDescent="0.25">
      <c r="B127" s="1" t="s">
        <v>272</v>
      </c>
      <c r="C127" s="1" t="s">
        <v>9</v>
      </c>
      <c r="D127" s="1">
        <v>1</v>
      </c>
      <c r="E127" s="2">
        <v>8</v>
      </c>
      <c r="F127" s="2"/>
      <c r="H127" s="1" t="s">
        <v>275</v>
      </c>
      <c r="I127" s="8">
        <v>10</v>
      </c>
    </row>
    <row r="128" spans="2:10" ht="13.2" x14ac:dyDescent="0.25">
      <c r="B128" s="1" t="s">
        <v>276</v>
      </c>
      <c r="C128" s="1" t="s">
        <v>277</v>
      </c>
      <c r="D128" s="1">
        <v>1</v>
      </c>
      <c r="E128" s="2">
        <v>5</v>
      </c>
      <c r="F128" s="2">
        <v>1</v>
      </c>
      <c r="G128" s="1" t="s">
        <v>103</v>
      </c>
      <c r="H128" s="1" t="s">
        <v>278</v>
      </c>
      <c r="I128" s="8">
        <v>10</v>
      </c>
    </row>
    <row r="129" spans="2:10" ht="13.2" hidden="1" x14ac:dyDescent="0.25">
      <c r="B129" s="1" t="s">
        <v>276</v>
      </c>
      <c r="C129" s="1" t="s">
        <v>9</v>
      </c>
      <c r="D129" s="1">
        <v>1</v>
      </c>
      <c r="E129" s="2">
        <v>5</v>
      </c>
      <c r="F129" s="2"/>
      <c r="H129" s="1" t="s">
        <v>279</v>
      </c>
      <c r="I129" s="8">
        <v>10</v>
      </c>
    </row>
    <row r="130" spans="2:10" ht="13.2" x14ac:dyDescent="0.25">
      <c r="B130" s="1" t="s">
        <v>280</v>
      </c>
      <c r="C130" s="1" t="s">
        <v>281</v>
      </c>
      <c r="D130" s="1">
        <v>1</v>
      </c>
      <c r="E130" s="2">
        <v>4</v>
      </c>
      <c r="F130" s="2">
        <v>1</v>
      </c>
      <c r="G130" s="1" t="s">
        <v>103</v>
      </c>
      <c r="H130" s="1" t="s">
        <v>282</v>
      </c>
      <c r="I130" s="8">
        <v>10</v>
      </c>
    </row>
    <row r="131" spans="2:10" ht="13.2" hidden="1" x14ac:dyDescent="0.25">
      <c r="B131" s="1" t="s">
        <v>280</v>
      </c>
      <c r="C131" s="1" t="s">
        <v>9</v>
      </c>
      <c r="D131" s="1">
        <v>1</v>
      </c>
      <c r="E131" s="2">
        <v>4</v>
      </c>
      <c r="F131" s="2"/>
      <c r="H131" s="1" t="s">
        <v>283</v>
      </c>
      <c r="I131" s="8">
        <v>10</v>
      </c>
    </row>
    <row r="132" spans="2:10" ht="13.2" x14ac:dyDescent="0.25">
      <c r="B132" s="10" t="s">
        <v>284</v>
      </c>
      <c r="C132" s="8" t="s">
        <v>285</v>
      </c>
      <c r="D132" s="1">
        <v>0</v>
      </c>
      <c r="E132" s="2">
        <v>5</v>
      </c>
      <c r="F132" s="2">
        <v>0</v>
      </c>
      <c r="G132" s="1" t="s">
        <v>7</v>
      </c>
      <c r="H132" s="1" t="s">
        <v>286</v>
      </c>
      <c r="I132" s="8">
        <v>10</v>
      </c>
    </row>
    <row r="133" spans="2:10" ht="13.2" x14ac:dyDescent="0.25">
      <c r="B133" s="10" t="s">
        <v>284</v>
      </c>
      <c r="C133" s="1" t="s">
        <v>287</v>
      </c>
      <c r="D133" s="1">
        <v>1</v>
      </c>
      <c r="E133" s="2">
        <v>4</v>
      </c>
      <c r="F133" s="2">
        <v>1</v>
      </c>
      <c r="G133" s="1" t="s">
        <v>22</v>
      </c>
      <c r="H133" s="1" t="s">
        <v>288</v>
      </c>
      <c r="I133" s="8">
        <v>10</v>
      </c>
    </row>
    <row r="134" spans="2:10" ht="13.2" hidden="1" x14ac:dyDescent="0.25">
      <c r="B134" s="10" t="s">
        <v>284</v>
      </c>
      <c r="C134" s="1" t="s">
        <v>9</v>
      </c>
      <c r="D134" s="1">
        <v>1</v>
      </c>
      <c r="E134" s="2">
        <v>5</v>
      </c>
      <c r="F134" s="2"/>
      <c r="H134" s="1" t="s">
        <v>289</v>
      </c>
      <c r="I134" s="8">
        <v>10</v>
      </c>
    </row>
    <row r="135" spans="2:10" ht="13.2" x14ac:dyDescent="0.25">
      <c r="B135" s="10" t="s">
        <v>290</v>
      </c>
      <c r="C135" s="1" t="s">
        <v>291</v>
      </c>
      <c r="D135" s="1">
        <v>1</v>
      </c>
      <c r="E135" s="2">
        <v>3</v>
      </c>
      <c r="F135" s="2">
        <v>1</v>
      </c>
      <c r="G135" s="1" t="s">
        <v>292</v>
      </c>
      <c r="H135" s="1" t="s">
        <v>293</v>
      </c>
      <c r="I135" s="8">
        <v>10</v>
      </c>
    </row>
    <row r="136" spans="2:10" ht="13.2" hidden="1" x14ac:dyDescent="0.25">
      <c r="B136" s="10" t="s">
        <v>290</v>
      </c>
      <c r="C136" s="1" t="s">
        <v>9</v>
      </c>
      <c r="D136" s="1">
        <v>1</v>
      </c>
      <c r="E136" s="2">
        <v>3</v>
      </c>
      <c r="F136" s="2"/>
      <c r="H136" s="1" t="s">
        <v>294</v>
      </c>
      <c r="I136" s="8">
        <v>10</v>
      </c>
    </row>
    <row r="137" spans="2:10" ht="13.2" x14ac:dyDescent="0.25">
      <c r="B137" s="10" t="s">
        <v>295</v>
      </c>
      <c r="C137" s="1" t="s">
        <v>291</v>
      </c>
      <c r="D137" s="1">
        <v>1</v>
      </c>
      <c r="E137" s="2">
        <v>5</v>
      </c>
      <c r="F137" s="2">
        <v>1</v>
      </c>
      <c r="G137" s="1" t="s">
        <v>292</v>
      </c>
      <c r="H137" s="1" t="s">
        <v>296</v>
      </c>
      <c r="I137" s="8">
        <v>10</v>
      </c>
    </row>
    <row r="138" spans="2:10" ht="13.2" hidden="1" x14ac:dyDescent="0.25">
      <c r="B138" s="10" t="s">
        <v>295</v>
      </c>
      <c r="C138" s="1" t="s">
        <v>9</v>
      </c>
      <c r="D138" s="1">
        <v>1</v>
      </c>
      <c r="E138" s="2">
        <v>5</v>
      </c>
      <c r="F138" s="2"/>
      <c r="H138" s="1" t="s">
        <v>297</v>
      </c>
      <c r="I138" s="8">
        <v>10</v>
      </c>
    </row>
    <row r="139" spans="2:10" ht="13.2" x14ac:dyDescent="0.25">
      <c r="B139" s="10" t="s">
        <v>298</v>
      </c>
      <c r="C139" s="1" t="s">
        <v>299</v>
      </c>
      <c r="D139" s="1">
        <v>0</v>
      </c>
      <c r="E139" s="2">
        <v>4</v>
      </c>
      <c r="F139" s="2">
        <v>0</v>
      </c>
      <c r="G139" s="1" t="s">
        <v>7</v>
      </c>
      <c r="H139" s="1" t="s">
        <v>300</v>
      </c>
      <c r="I139" s="8">
        <v>6</v>
      </c>
      <c r="J139" t="s">
        <v>532</v>
      </c>
    </row>
    <row r="140" spans="2:10" ht="13.2" hidden="1" x14ac:dyDescent="0.25">
      <c r="B140" s="10" t="s">
        <v>298</v>
      </c>
      <c r="C140" s="1" t="s">
        <v>9</v>
      </c>
      <c r="D140" s="1">
        <v>1</v>
      </c>
      <c r="E140" s="2">
        <v>4</v>
      </c>
      <c r="F140" s="2"/>
      <c r="H140" s="1" t="s">
        <v>301</v>
      </c>
      <c r="I140" s="8">
        <v>8</v>
      </c>
    </row>
    <row r="141" spans="2:10" ht="13.2" x14ac:dyDescent="0.25">
      <c r="B141" s="1" t="s">
        <v>302</v>
      </c>
      <c r="C141" s="1" t="s">
        <v>303</v>
      </c>
      <c r="D141" s="1">
        <v>1</v>
      </c>
      <c r="E141" s="2">
        <v>9</v>
      </c>
      <c r="F141" s="2">
        <v>1</v>
      </c>
      <c r="G141" s="1" t="s">
        <v>273</v>
      </c>
      <c r="H141" s="1" t="s">
        <v>304</v>
      </c>
      <c r="I141" s="1">
        <v>10</v>
      </c>
    </row>
    <row r="142" spans="2:10" ht="13.2" hidden="1" x14ac:dyDescent="0.25">
      <c r="B142" s="1" t="s">
        <v>302</v>
      </c>
      <c r="C142" s="1" t="s">
        <v>9</v>
      </c>
      <c r="D142" s="1">
        <v>1</v>
      </c>
      <c r="E142" s="2">
        <v>9</v>
      </c>
      <c r="F142" s="2"/>
      <c r="H142" s="1" t="s">
        <v>305</v>
      </c>
      <c r="I142">
        <v>10</v>
      </c>
    </row>
    <row r="143" spans="2:10" ht="13.2" x14ac:dyDescent="0.25">
      <c r="B143" s="1" t="s">
        <v>306</v>
      </c>
      <c r="C143" s="1" t="s">
        <v>307</v>
      </c>
      <c r="D143" s="1">
        <v>1</v>
      </c>
      <c r="E143" s="2">
        <v>9</v>
      </c>
      <c r="F143" s="2">
        <v>1</v>
      </c>
      <c r="G143" s="1" t="s">
        <v>308</v>
      </c>
      <c r="H143" s="1" t="s">
        <v>309</v>
      </c>
      <c r="I143">
        <v>9</v>
      </c>
    </row>
    <row r="144" spans="2:10" ht="13.2" hidden="1" x14ac:dyDescent="0.25">
      <c r="B144" s="1" t="s">
        <v>306</v>
      </c>
      <c r="C144" s="1" t="s">
        <v>9</v>
      </c>
      <c r="D144" s="1">
        <v>1</v>
      </c>
      <c r="E144" s="2">
        <v>9</v>
      </c>
      <c r="F144" s="2"/>
      <c r="H144" s="1" t="s">
        <v>310</v>
      </c>
      <c r="I144">
        <v>9</v>
      </c>
    </row>
    <row r="145" spans="2:9" ht="13.2" x14ac:dyDescent="0.25">
      <c r="B145" s="1" t="s">
        <v>311</v>
      </c>
      <c r="C145" s="1" t="s">
        <v>312</v>
      </c>
      <c r="D145" s="1">
        <v>1</v>
      </c>
      <c r="E145" s="2">
        <v>7</v>
      </c>
      <c r="F145" s="2">
        <v>1</v>
      </c>
      <c r="G145" s="1" t="s">
        <v>198</v>
      </c>
      <c r="H145" s="1" t="s">
        <v>313</v>
      </c>
      <c r="I145">
        <v>10</v>
      </c>
    </row>
    <row r="146" spans="2:9" ht="13.2" hidden="1" x14ac:dyDescent="0.25">
      <c r="B146" s="1" t="s">
        <v>311</v>
      </c>
      <c r="C146" s="1" t="s">
        <v>9</v>
      </c>
      <c r="D146" s="1">
        <v>1</v>
      </c>
      <c r="E146" s="2">
        <v>7</v>
      </c>
      <c r="F146" s="2"/>
      <c r="H146" s="1" t="s">
        <v>314</v>
      </c>
      <c r="I146">
        <v>10</v>
      </c>
    </row>
    <row r="147" spans="2:9" ht="13.2" x14ac:dyDescent="0.25">
      <c r="B147" s="1" t="s">
        <v>315</v>
      </c>
      <c r="C147" s="1" t="s">
        <v>316</v>
      </c>
      <c r="D147" s="1">
        <v>1</v>
      </c>
      <c r="E147" s="2">
        <v>6</v>
      </c>
      <c r="F147" s="2">
        <v>1</v>
      </c>
      <c r="G147" s="1" t="s">
        <v>198</v>
      </c>
      <c r="H147" s="1" t="s">
        <v>317</v>
      </c>
      <c r="I147">
        <v>10</v>
      </c>
    </row>
    <row r="148" spans="2:9" ht="13.2" x14ac:dyDescent="0.25">
      <c r="B148" s="1" t="s">
        <v>315</v>
      </c>
      <c r="C148" s="1" t="s">
        <v>318</v>
      </c>
      <c r="D148" s="1">
        <v>1</v>
      </c>
      <c r="E148" s="2">
        <v>3</v>
      </c>
      <c r="F148" s="2">
        <v>1</v>
      </c>
      <c r="G148" s="1" t="s">
        <v>198</v>
      </c>
      <c r="H148" s="1" t="s">
        <v>319</v>
      </c>
      <c r="I148">
        <v>10</v>
      </c>
    </row>
    <row r="149" spans="2:9" ht="13.2" hidden="1" x14ac:dyDescent="0.25">
      <c r="B149" s="1" t="s">
        <v>315</v>
      </c>
      <c r="C149" s="1" t="s">
        <v>9</v>
      </c>
      <c r="D149" s="1">
        <v>1</v>
      </c>
      <c r="E149" s="2">
        <v>6</v>
      </c>
      <c r="H149" s="1" t="s">
        <v>320</v>
      </c>
      <c r="I149">
        <v>10</v>
      </c>
    </row>
    <row r="150" spans="2:9" ht="13.2" x14ac:dyDescent="0.25">
      <c r="B150" s="1" t="s">
        <v>321</v>
      </c>
      <c r="C150" s="1" t="s">
        <v>322</v>
      </c>
      <c r="D150" s="1">
        <v>1</v>
      </c>
      <c r="E150" s="2">
        <v>7</v>
      </c>
      <c r="F150" s="2">
        <v>1</v>
      </c>
      <c r="G150" s="1" t="s">
        <v>198</v>
      </c>
      <c r="H150" s="1" t="s">
        <v>323</v>
      </c>
      <c r="I150">
        <v>10</v>
      </c>
    </row>
    <row r="151" spans="2:9" ht="13.2" hidden="1" x14ac:dyDescent="0.25">
      <c r="B151" s="1" t="s">
        <v>321</v>
      </c>
      <c r="C151" s="1" t="s">
        <v>9</v>
      </c>
      <c r="D151" s="1">
        <v>1</v>
      </c>
      <c r="E151" s="2">
        <v>7</v>
      </c>
      <c r="F151" s="2"/>
      <c r="H151" s="1" t="s">
        <v>324</v>
      </c>
      <c r="I151">
        <v>10</v>
      </c>
    </row>
    <row r="152" spans="2:9" ht="13.2" x14ac:dyDescent="0.25">
      <c r="B152" s="1" t="s">
        <v>325</v>
      </c>
      <c r="C152" s="1" t="s">
        <v>326</v>
      </c>
      <c r="D152" s="1">
        <v>1</v>
      </c>
      <c r="E152" s="2">
        <v>7</v>
      </c>
      <c r="F152" s="2">
        <v>1</v>
      </c>
      <c r="G152" s="1" t="s">
        <v>215</v>
      </c>
      <c r="H152" s="1" t="s">
        <v>327</v>
      </c>
      <c r="I152">
        <v>10</v>
      </c>
    </row>
    <row r="153" spans="2:9" ht="13.2" hidden="1" x14ac:dyDescent="0.25">
      <c r="B153" s="1" t="s">
        <v>325</v>
      </c>
      <c r="C153" s="1" t="s">
        <v>9</v>
      </c>
      <c r="D153" s="1">
        <v>1</v>
      </c>
      <c r="E153" s="2">
        <v>7</v>
      </c>
      <c r="F153" s="2"/>
      <c r="H153" s="1" t="s">
        <v>328</v>
      </c>
      <c r="I153">
        <v>10</v>
      </c>
    </row>
    <row r="154" spans="2:9" ht="13.2" x14ac:dyDescent="0.25">
      <c r="B154" s="1" t="s">
        <v>329</v>
      </c>
      <c r="C154" s="1" t="s">
        <v>330</v>
      </c>
      <c r="D154" s="1">
        <v>1</v>
      </c>
      <c r="E154" s="2">
        <v>6</v>
      </c>
      <c r="F154" s="2">
        <v>1</v>
      </c>
      <c r="G154" s="1" t="s">
        <v>215</v>
      </c>
      <c r="H154" s="1" t="s">
        <v>331</v>
      </c>
      <c r="I154">
        <v>10</v>
      </c>
    </row>
    <row r="155" spans="2:9" ht="13.2" hidden="1" x14ac:dyDescent="0.25">
      <c r="B155" s="1" t="s">
        <v>329</v>
      </c>
      <c r="C155" s="1" t="s">
        <v>9</v>
      </c>
      <c r="D155" s="1">
        <v>1</v>
      </c>
      <c r="E155" s="2">
        <v>6</v>
      </c>
      <c r="F155" s="2"/>
      <c r="H155" s="1" t="s">
        <v>332</v>
      </c>
      <c r="I155">
        <v>10</v>
      </c>
    </row>
    <row r="156" spans="2:9" ht="13.2" x14ac:dyDescent="0.25">
      <c r="B156" s="1" t="s">
        <v>333</v>
      </c>
      <c r="C156" s="1" t="s">
        <v>334</v>
      </c>
      <c r="D156" s="1">
        <v>1</v>
      </c>
      <c r="E156" s="2">
        <v>8</v>
      </c>
      <c r="F156" s="2">
        <v>1</v>
      </c>
      <c r="G156" s="1" t="s">
        <v>198</v>
      </c>
      <c r="H156" s="1" t="s">
        <v>335</v>
      </c>
      <c r="I156">
        <v>10</v>
      </c>
    </row>
    <row r="157" spans="2:9" ht="13.2" x14ac:dyDescent="0.25">
      <c r="B157" s="1" t="s">
        <v>333</v>
      </c>
      <c r="C157" s="1" t="s">
        <v>336</v>
      </c>
      <c r="D157" s="1">
        <v>1</v>
      </c>
      <c r="E157" s="2">
        <v>5</v>
      </c>
      <c r="F157" s="2">
        <v>1</v>
      </c>
      <c r="G157" s="1" t="s">
        <v>198</v>
      </c>
      <c r="H157" s="1" t="s">
        <v>337</v>
      </c>
      <c r="I157">
        <v>10</v>
      </c>
    </row>
    <row r="158" spans="2:9" ht="13.2" hidden="1" x14ac:dyDescent="0.25">
      <c r="B158" s="1" t="s">
        <v>333</v>
      </c>
      <c r="C158" s="1" t="s">
        <v>9</v>
      </c>
      <c r="D158" s="1">
        <v>1</v>
      </c>
      <c r="E158" s="2">
        <v>8</v>
      </c>
      <c r="F158" s="2"/>
      <c r="H158" s="1" t="s">
        <v>338</v>
      </c>
      <c r="I158">
        <v>10</v>
      </c>
    </row>
    <row r="159" spans="2:9" ht="13.2" x14ac:dyDescent="0.25">
      <c r="B159" s="1" t="s">
        <v>339</v>
      </c>
      <c r="C159" s="1" t="s">
        <v>340</v>
      </c>
      <c r="D159" s="1">
        <v>1</v>
      </c>
      <c r="E159" s="2">
        <v>8</v>
      </c>
      <c r="F159" s="2">
        <v>1</v>
      </c>
      <c r="G159" s="1" t="s">
        <v>198</v>
      </c>
      <c r="H159" s="1" t="s">
        <v>341</v>
      </c>
      <c r="I159">
        <v>10</v>
      </c>
    </row>
    <row r="160" spans="2:9" ht="13.2" hidden="1" x14ac:dyDescent="0.25">
      <c r="B160" s="1" t="s">
        <v>339</v>
      </c>
      <c r="C160" s="1" t="s">
        <v>9</v>
      </c>
      <c r="D160" s="1">
        <v>1</v>
      </c>
      <c r="E160" s="2">
        <v>8</v>
      </c>
      <c r="F160" s="2"/>
      <c r="H160" s="1" t="s">
        <v>342</v>
      </c>
      <c r="I160">
        <v>10</v>
      </c>
    </row>
    <row r="161" spans="2:10" ht="13.2" x14ac:dyDescent="0.25">
      <c r="B161" s="1" t="s">
        <v>343</v>
      </c>
      <c r="C161" s="1" t="s">
        <v>344</v>
      </c>
      <c r="D161" s="1">
        <v>1</v>
      </c>
      <c r="E161" s="2">
        <v>8</v>
      </c>
      <c r="F161" s="2">
        <v>1</v>
      </c>
      <c r="G161" s="1" t="s">
        <v>345</v>
      </c>
      <c r="H161" s="1" t="s">
        <v>346</v>
      </c>
      <c r="I161">
        <v>10</v>
      </c>
    </row>
    <row r="162" spans="2:10" ht="13.2" x14ac:dyDescent="0.25">
      <c r="B162" s="1" t="s">
        <v>343</v>
      </c>
      <c r="C162" s="1" t="s">
        <v>347</v>
      </c>
      <c r="D162" s="1">
        <v>1</v>
      </c>
      <c r="E162" s="2">
        <v>9</v>
      </c>
      <c r="F162" s="2">
        <v>1</v>
      </c>
      <c r="G162" s="1" t="s">
        <v>7</v>
      </c>
      <c r="H162" s="1" t="s">
        <v>348</v>
      </c>
      <c r="I162">
        <v>10</v>
      </c>
    </row>
    <row r="163" spans="2:10" ht="13.2" x14ac:dyDescent="0.25">
      <c r="B163" s="1" t="s">
        <v>343</v>
      </c>
      <c r="C163" s="1" t="s">
        <v>349</v>
      </c>
      <c r="D163" s="1">
        <v>1</v>
      </c>
      <c r="E163" s="2">
        <v>6</v>
      </c>
      <c r="F163" s="2">
        <v>1</v>
      </c>
      <c r="G163" s="1" t="s">
        <v>215</v>
      </c>
      <c r="H163" s="1" t="s">
        <v>350</v>
      </c>
      <c r="I163">
        <v>10</v>
      </c>
    </row>
    <row r="164" spans="2:10" ht="13.2" hidden="1" x14ac:dyDescent="0.25">
      <c r="B164" s="1" t="s">
        <v>343</v>
      </c>
      <c r="C164" s="1" t="s">
        <v>9</v>
      </c>
      <c r="D164" s="1">
        <v>1</v>
      </c>
      <c r="E164" s="2">
        <v>8</v>
      </c>
      <c r="F164" s="2"/>
      <c r="H164" s="1" t="s">
        <v>351</v>
      </c>
      <c r="I164">
        <v>10</v>
      </c>
    </row>
    <row r="165" spans="2:10" ht="13.2" x14ac:dyDescent="0.25">
      <c r="B165" s="1" t="s">
        <v>352</v>
      </c>
      <c r="C165" s="1" t="s">
        <v>353</v>
      </c>
      <c r="D165" s="1">
        <v>0</v>
      </c>
      <c r="E165" s="2">
        <v>3</v>
      </c>
      <c r="F165" s="2">
        <v>1</v>
      </c>
      <c r="G165" s="1" t="s">
        <v>103</v>
      </c>
      <c r="H165" s="1" t="s">
        <v>354</v>
      </c>
      <c r="I165">
        <v>10</v>
      </c>
    </row>
    <row r="166" spans="2:10" ht="13.2" hidden="1" x14ac:dyDescent="0.25">
      <c r="B166" s="1" t="s">
        <v>352</v>
      </c>
      <c r="C166" s="1" t="s">
        <v>9</v>
      </c>
      <c r="D166" s="13">
        <v>0</v>
      </c>
      <c r="E166" s="2">
        <v>3</v>
      </c>
      <c r="F166" s="2"/>
      <c r="H166" s="1" t="s">
        <v>355</v>
      </c>
      <c r="I166">
        <v>10</v>
      </c>
    </row>
    <row r="167" spans="2:10" ht="13.2" x14ac:dyDescent="0.25">
      <c r="B167" s="1" t="s">
        <v>356</v>
      </c>
      <c r="C167" s="1" t="s">
        <v>357</v>
      </c>
      <c r="D167" s="1">
        <v>1</v>
      </c>
      <c r="E167" s="2">
        <v>8</v>
      </c>
      <c r="F167" s="2">
        <v>1</v>
      </c>
      <c r="G167" s="1" t="s">
        <v>308</v>
      </c>
      <c r="H167" s="1" t="s">
        <v>358</v>
      </c>
      <c r="I167">
        <v>10</v>
      </c>
    </row>
    <row r="168" spans="2:10" ht="13.2" hidden="1" x14ac:dyDescent="0.25">
      <c r="B168" s="1" t="s">
        <v>356</v>
      </c>
      <c r="C168" s="1" t="s">
        <v>9</v>
      </c>
      <c r="D168" s="1">
        <v>1</v>
      </c>
      <c r="E168" s="2">
        <v>8</v>
      </c>
      <c r="F168" s="2"/>
      <c r="H168" s="1" t="s">
        <v>359</v>
      </c>
      <c r="I168">
        <v>10</v>
      </c>
    </row>
    <row r="169" spans="2:10" ht="13.2" x14ac:dyDescent="0.25">
      <c r="B169" s="1" t="s">
        <v>360</v>
      </c>
      <c r="C169" s="1" t="s">
        <v>361</v>
      </c>
      <c r="D169" s="1">
        <v>1</v>
      </c>
      <c r="E169" s="2">
        <v>4</v>
      </c>
      <c r="F169" s="2">
        <v>1</v>
      </c>
      <c r="G169" s="1" t="s">
        <v>7</v>
      </c>
      <c r="H169" s="1" t="s">
        <v>362</v>
      </c>
      <c r="I169">
        <v>10</v>
      </c>
      <c r="J169" t="s">
        <v>511</v>
      </c>
    </row>
    <row r="170" spans="2:10" ht="13.2" x14ac:dyDescent="0.25">
      <c r="B170" s="1" t="s">
        <v>360</v>
      </c>
      <c r="C170" s="1" t="s">
        <v>363</v>
      </c>
      <c r="D170" s="1">
        <v>1</v>
      </c>
      <c r="E170" s="2">
        <v>3</v>
      </c>
      <c r="F170" s="2">
        <v>1</v>
      </c>
      <c r="G170" s="1" t="s">
        <v>7</v>
      </c>
      <c r="H170" s="1" t="s">
        <v>364</v>
      </c>
      <c r="I170">
        <v>10</v>
      </c>
    </row>
    <row r="171" spans="2:10" ht="13.2" hidden="1" x14ac:dyDescent="0.25">
      <c r="B171" s="1" t="s">
        <v>360</v>
      </c>
      <c r="C171" s="1" t="s">
        <v>9</v>
      </c>
      <c r="D171" s="1">
        <v>1</v>
      </c>
      <c r="E171" s="2">
        <v>4</v>
      </c>
      <c r="F171" s="2"/>
      <c r="H171" s="1" t="s">
        <v>365</v>
      </c>
      <c r="I171">
        <v>10</v>
      </c>
    </row>
    <row r="172" spans="2:10" ht="13.2" x14ac:dyDescent="0.25">
      <c r="B172" s="1" t="s">
        <v>366</v>
      </c>
      <c r="C172" s="1" t="s">
        <v>367</v>
      </c>
      <c r="D172" s="1">
        <v>0</v>
      </c>
      <c r="E172" s="2">
        <v>5</v>
      </c>
      <c r="F172" s="2">
        <v>1</v>
      </c>
      <c r="G172" s="1" t="s">
        <v>7</v>
      </c>
      <c r="H172" s="1" t="s">
        <v>368</v>
      </c>
      <c r="I172" s="1">
        <v>8</v>
      </c>
      <c r="J172" t="s">
        <v>515</v>
      </c>
    </row>
    <row r="173" spans="2:10" ht="13.2" hidden="1" x14ac:dyDescent="0.25">
      <c r="B173" s="1" t="s">
        <v>366</v>
      </c>
      <c r="C173" s="1" t="s">
        <v>9</v>
      </c>
      <c r="D173" s="13">
        <v>0</v>
      </c>
      <c r="E173" s="2">
        <v>5</v>
      </c>
      <c r="F173" s="2"/>
      <c r="H173" s="1" t="s">
        <v>369</v>
      </c>
      <c r="I173">
        <v>8</v>
      </c>
    </row>
    <row r="174" spans="2:10" ht="13.2" x14ac:dyDescent="0.25">
      <c r="B174" s="1" t="s">
        <v>370</v>
      </c>
      <c r="C174" s="1" t="s">
        <v>6</v>
      </c>
      <c r="D174" s="1">
        <v>0</v>
      </c>
      <c r="E174" s="2">
        <v>4</v>
      </c>
      <c r="F174" s="2">
        <v>1</v>
      </c>
      <c r="G174" s="1" t="s">
        <v>7</v>
      </c>
      <c r="H174" s="1" t="s">
        <v>371</v>
      </c>
      <c r="I174" s="1">
        <v>6</v>
      </c>
      <c r="J174" t="s">
        <v>516</v>
      </c>
    </row>
    <row r="175" spans="2:10" ht="13.2" x14ac:dyDescent="0.25">
      <c r="B175" s="1" t="s">
        <v>370</v>
      </c>
      <c r="C175" s="1" t="s">
        <v>372</v>
      </c>
      <c r="D175" s="1">
        <v>1</v>
      </c>
      <c r="E175" s="2">
        <v>3</v>
      </c>
      <c r="F175" s="2">
        <v>1</v>
      </c>
      <c r="G175" s="1" t="s">
        <v>7</v>
      </c>
      <c r="H175" s="1" t="s">
        <v>373</v>
      </c>
      <c r="I175" s="1">
        <v>10</v>
      </c>
    </row>
    <row r="176" spans="2:10" ht="13.2" hidden="1" x14ac:dyDescent="0.25">
      <c r="B176" s="1" t="s">
        <v>370</v>
      </c>
      <c r="C176" s="1" t="s">
        <v>9</v>
      </c>
      <c r="D176" s="13">
        <v>0</v>
      </c>
      <c r="E176" s="2">
        <v>4</v>
      </c>
      <c r="F176" s="2"/>
      <c r="H176" s="1" t="s">
        <v>374</v>
      </c>
      <c r="I176" s="1">
        <v>8</v>
      </c>
    </row>
    <row r="177" spans="2:9" ht="13.2" x14ac:dyDescent="0.25">
      <c r="B177" s="1" t="s">
        <v>375</v>
      </c>
      <c r="C177" s="1" t="s">
        <v>376</v>
      </c>
      <c r="D177" s="1">
        <v>1</v>
      </c>
      <c r="E177" s="2">
        <v>6</v>
      </c>
      <c r="F177" s="2">
        <v>1</v>
      </c>
      <c r="G177" s="1" t="s">
        <v>7</v>
      </c>
      <c r="H177" s="1" t="s">
        <v>377</v>
      </c>
      <c r="I177" s="1">
        <v>10</v>
      </c>
    </row>
    <row r="178" spans="2:9" ht="13.2" hidden="1" x14ac:dyDescent="0.25">
      <c r="B178" s="1" t="s">
        <v>375</v>
      </c>
      <c r="C178" s="1" t="s">
        <v>9</v>
      </c>
      <c r="D178" s="1">
        <v>1</v>
      </c>
      <c r="E178" s="2">
        <v>6</v>
      </c>
      <c r="F178" s="2"/>
      <c r="H178" s="1" t="s">
        <v>378</v>
      </c>
      <c r="I178" s="1">
        <v>10</v>
      </c>
    </row>
    <row r="179" spans="2:9" ht="13.2" x14ac:dyDescent="0.25">
      <c r="B179" s="1" t="s">
        <v>379</v>
      </c>
      <c r="C179" s="1" t="s">
        <v>380</v>
      </c>
      <c r="D179" s="1">
        <v>1</v>
      </c>
      <c r="E179" s="2">
        <v>6</v>
      </c>
      <c r="F179" s="2">
        <v>1</v>
      </c>
      <c r="G179" s="1" t="s">
        <v>7</v>
      </c>
      <c r="H179" s="1" t="s">
        <v>381</v>
      </c>
      <c r="I179" s="1">
        <v>10</v>
      </c>
    </row>
    <row r="180" spans="2:9" ht="13.2" hidden="1" x14ac:dyDescent="0.25">
      <c r="B180" s="1" t="s">
        <v>379</v>
      </c>
      <c r="C180" s="1" t="s">
        <v>9</v>
      </c>
      <c r="D180" s="1">
        <v>1</v>
      </c>
      <c r="E180" s="2">
        <v>6</v>
      </c>
      <c r="F180" s="2"/>
      <c r="H180" s="1" t="s">
        <v>382</v>
      </c>
      <c r="I180" s="1">
        <v>10</v>
      </c>
    </row>
    <row r="181" spans="2:9" ht="13.2" x14ac:dyDescent="0.25">
      <c r="B181" s="1" t="s">
        <v>383</v>
      </c>
      <c r="C181" s="1" t="s">
        <v>384</v>
      </c>
      <c r="D181" s="1">
        <v>1</v>
      </c>
      <c r="E181" s="2">
        <v>5</v>
      </c>
      <c r="F181" s="2">
        <v>1</v>
      </c>
      <c r="G181" s="1" t="s">
        <v>7</v>
      </c>
      <c r="H181" s="1" t="s">
        <v>385</v>
      </c>
      <c r="I181" s="1">
        <v>10</v>
      </c>
    </row>
    <row r="182" spans="2:9" ht="13.2" hidden="1" x14ac:dyDescent="0.25">
      <c r="B182" s="1" t="s">
        <v>383</v>
      </c>
      <c r="C182" s="1" t="s">
        <v>9</v>
      </c>
      <c r="D182" s="1">
        <v>1</v>
      </c>
      <c r="E182" s="2">
        <v>5</v>
      </c>
      <c r="F182" s="2"/>
      <c r="H182" s="1" t="s">
        <v>386</v>
      </c>
      <c r="I182" s="1">
        <v>10</v>
      </c>
    </row>
    <row r="183" spans="2:9" ht="13.2" x14ac:dyDescent="0.25">
      <c r="B183" s="1" t="s">
        <v>387</v>
      </c>
      <c r="C183" s="1" t="s">
        <v>388</v>
      </c>
      <c r="D183" s="1">
        <v>1</v>
      </c>
      <c r="E183" s="2">
        <v>4</v>
      </c>
      <c r="F183" s="2">
        <v>1</v>
      </c>
      <c r="G183" s="1" t="s">
        <v>69</v>
      </c>
      <c r="H183" s="1" t="s">
        <v>389</v>
      </c>
      <c r="I183" s="1">
        <v>10</v>
      </c>
    </row>
    <row r="184" spans="2:9" ht="13.2" x14ac:dyDescent="0.25">
      <c r="B184" s="1" t="s">
        <v>387</v>
      </c>
      <c r="C184" s="1" t="s">
        <v>390</v>
      </c>
      <c r="D184" s="1">
        <v>1</v>
      </c>
      <c r="E184" s="2">
        <v>5</v>
      </c>
      <c r="F184" s="2">
        <v>1</v>
      </c>
      <c r="G184" s="1" t="s">
        <v>391</v>
      </c>
      <c r="H184" s="1" t="s">
        <v>392</v>
      </c>
      <c r="I184" s="1">
        <v>10</v>
      </c>
    </row>
    <row r="185" spans="2:9" ht="13.2" hidden="1" x14ac:dyDescent="0.25">
      <c r="B185" s="1" t="s">
        <v>387</v>
      </c>
      <c r="C185" s="1" t="s">
        <v>9</v>
      </c>
      <c r="D185" s="1">
        <v>1</v>
      </c>
      <c r="E185" s="2">
        <v>5</v>
      </c>
      <c r="F185" s="2"/>
      <c r="H185" s="1" t="s">
        <v>393</v>
      </c>
      <c r="I185" s="1">
        <v>10</v>
      </c>
    </row>
    <row r="186" spans="2:9" ht="13.2" x14ac:dyDescent="0.25">
      <c r="B186" s="1" t="s">
        <v>394</v>
      </c>
      <c r="C186" s="1" t="s">
        <v>395</v>
      </c>
      <c r="D186" s="1">
        <v>1</v>
      </c>
      <c r="E186" s="2">
        <v>7</v>
      </c>
      <c r="F186" s="2">
        <v>1</v>
      </c>
      <c r="G186" s="1" t="s">
        <v>74</v>
      </c>
      <c r="H186" s="1" t="s">
        <v>396</v>
      </c>
      <c r="I186" s="1">
        <v>10</v>
      </c>
    </row>
    <row r="187" spans="2:9" ht="13.2" x14ac:dyDescent="0.25">
      <c r="B187" s="1" t="s">
        <v>394</v>
      </c>
      <c r="C187" s="1" t="s">
        <v>397</v>
      </c>
      <c r="D187" s="1">
        <v>1</v>
      </c>
      <c r="E187" s="2">
        <v>5</v>
      </c>
      <c r="F187" s="2">
        <v>1</v>
      </c>
      <c r="G187" s="1" t="s">
        <v>265</v>
      </c>
      <c r="H187" s="1" t="s">
        <v>398</v>
      </c>
      <c r="I187" s="1">
        <v>10</v>
      </c>
    </row>
    <row r="188" spans="2:9" ht="13.2" hidden="1" x14ac:dyDescent="0.25">
      <c r="B188" s="1" t="s">
        <v>394</v>
      </c>
      <c r="C188" s="1" t="s">
        <v>9</v>
      </c>
      <c r="D188" s="1">
        <v>1</v>
      </c>
      <c r="E188" s="2">
        <v>7</v>
      </c>
      <c r="F188" s="2"/>
      <c r="H188" s="1" t="s">
        <v>399</v>
      </c>
      <c r="I188" s="1">
        <v>10</v>
      </c>
    </row>
    <row r="189" spans="2:9" ht="13.2" x14ac:dyDescent="0.25">
      <c r="B189" s="1" t="s">
        <v>400</v>
      </c>
      <c r="C189" s="1" t="s">
        <v>401</v>
      </c>
      <c r="D189" s="1">
        <v>1</v>
      </c>
      <c r="E189" s="2">
        <v>4</v>
      </c>
      <c r="F189" s="2">
        <v>1</v>
      </c>
      <c r="G189" s="1" t="s">
        <v>103</v>
      </c>
      <c r="H189" s="1" t="s">
        <v>402</v>
      </c>
      <c r="I189" s="1">
        <v>10</v>
      </c>
    </row>
    <row r="190" spans="2:9" ht="13.2" x14ac:dyDescent="0.25">
      <c r="B190" s="1" t="s">
        <v>400</v>
      </c>
      <c r="C190" s="1" t="s">
        <v>403</v>
      </c>
      <c r="D190" s="1">
        <v>1</v>
      </c>
      <c r="E190" s="2">
        <v>3</v>
      </c>
      <c r="F190" s="2">
        <v>1</v>
      </c>
      <c r="G190" s="1" t="s">
        <v>103</v>
      </c>
      <c r="H190" s="1" t="s">
        <v>404</v>
      </c>
      <c r="I190" s="1">
        <v>10</v>
      </c>
    </row>
    <row r="191" spans="2:9" ht="13.2" hidden="1" x14ac:dyDescent="0.25">
      <c r="B191" s="1" t="s">
        <v>400</v>
      </c>
      <c r="C191" s="1" t="s">
        <v>9</v>
      </c>
      <c r="D191" s="1">
        <v>1</v>
      </c>
      <c r="E191" s="2">
        <v>4</v>
      </c>
      <c r="F191" s="2"/>
      <c r="H191" s="1" t="s">
        <v>405</v>
      </c>
      <c r="I191" s="1">
        <v>10</v>
      </c>
    </row>
    <row r="192" spans="2:9" ht="13.2" x14ac:dyDescent="0.25">
      <c r="B192" s="1" t="s">
        <v>406</v>
      </c>
      <c r="C192" s="1" t="s">
        <v>407</v>
      </c>
      <c r="D192" s="1">
        <v>1</v>
      </c>
      <c r="E192" s="2">
        <v>6</v>
      </c>
      <c r="F192" s="2">
        <v>1</v>
      </c>
      <c r="G192" s="1" t="s">
        <v>215</v>
      </c>
      <c r="H192" s="1" t="s">
        <v>408</v>
      </c>
      <c r="I192" s="1">
        <v>10</v>
      </c>
    </row>
    <row r="193" spans="2:9" ht="13.2" x14ac:dyDescent="0.25">
      <c r="B193" s="1" t="s">
        <v>406</v>
      </c>
      <c r="C193" s="1" t="s">
        <v>409</v>
      </c>
      <c r="D193" s="1">
        <v>1</v>
      </c>
      <c r="E193" s="2">
        <v>4</v>
      </c>
      <c r="F193" s="2">
        <v>1</v>
      </c>
      <c r="G193" s="1" t="s">
        <v>215</v>
      </c>
      <c r="H193" s="1" t="s">
        <v>410</v>
      </c>
      <c r="I193" s="1">
        <v>10</v>
      </c>
    </row>
    <row r="194" spans="2:9" ht="13.2" hidden="1" x14ac:dyDescent="0.25">
      <c r="B194" s="1" t="s">
        <v>406</v>
      </c>
      <c r="C194" s="1" t="s">
        <v>9</v>
      </c>
      <c r="D194" s="1">
        <v>1</v>
      </c>
      <c r="E194" s="2">
        <v>6</v>
      </c>
      <c r="F194" s="2"/>
      <c r="H194" s="1" t="s">
        <v>411</v>
      </c>
      <c r="I194" s="1">
        <v>10</v>
      </c>
    </row>
    <row r="195" spans="2:9" ht="13.2" x14ac:dyDescent="0.25">
      <c r="B195" s="1" t="s">
        <v>412</v>
      </c>
      <c r="C195" s="1" t="s">
        <v>413</v>
      </c>
      <c r="D195" s="1">
        <v>1</v>
      </c>
      <c r="E195" s="2">
        <v>8</v>
      </c>
      <c r="F195" s="2">
        <v>1</v>
      </c>
      <c r="G195" s="1" t="s">
        <v>414</v>
      </c>
      <c r="H195" s="1" t="s">
        <v>415</v>
      </c>
      <c r="I195" s="1">
        <v>10</v>
      </c>
    </row>
    <row r="196" spans="2:9" ht="13.2" x14ac:dyDescent="0.25">
      <c r="B196" s="1" t="s">
        <v>412</v>
      </c>
      <c r="C196" s="1" t="s">
        <v>416</v>
      </c>
      <c r="D196" s="1">
        <v>1</v>
      </c>
      <c r="E196" s="2">
        <v>7</v>
      </c>
      <c r="F196" s="2">
        <v>1</v>
      </c>
      <c r="G196" s="1" t="s">
        <v>417</v>
      </c>
      <c r="H196" s="1" t="s">
        <v>418</v>
      </c>
      <c r="I196" s="1">
        <v>10</v>
      </c>
    </row>
    <row r="197" spans="2:9" ht="13.2" hidden="1" x14ac:dyDescent="0.25">
      <c r="B197" s="1" t="s">
        <v>412</v>
      </c>
      <c r="C197" s="1" t="s">
        <v>9</v>
      </c>
      <c r="D197" s="1">
        <v>1</v>
      </c>
      <c r="E197" s="2">
        <v>8</v>
      </c>
      <c r="F197" s="2"/>
      <c r="H197" s="1" t="s">
        <v>419</v>
      </c>
      <c r="I197" s="1">
        <v>10</v>
      </c>
    </row>
    <row r="198" spans="2:9" ht="15.75" customHeight="1" x14ac:dyDescent="0.25">
      <c r="B198" s="1" t="s">
        <v>533</v>
      </c>
      <c r="D198">
        <f>COUNT(D2:D197)</f>
        <v>196</v>
      </c>
      <c r="E198">
        <f t="shared" ref="E198:F198" si="1">COUNT(E2:E197)</f>
        <v>196</v>
      </c>
      <c r="F198">
        <f t="shared" si="1"/>
        <v>110</v>
      </c>
      <c r="I198">
        <f t="shared" ref="I198" si="2">COUNT(I2:I197)</f>
        <v>196</v>
      </c>
    </row>
    <row r="199" spans="2:9" ht="15.75" customHeight="1" x14ac:dyDescent="0.25">
      <c r="B199" s="1" t="s">
        <v>534</v>
      </c>
      <c r="D199" s="11">
        <f>AVERAGE(D2:D197)</f>
        <v>0.9285714285714286</v>
      </c>
      <c r="F199" s="11">
        <f>AVERAGE(F2:F197)</f>
        <v>0.96363636363636362</v>
      </c>
      <c r="I199" s="11">
        <f>AVERAGE(I2:I197)</f>
        <v>9.5357142857142865</v>
      </c>
    </row>
    <row r="200" spans="2:9" ht="15.75" customHeight="1" x14ac:dyDescent="0.25">
      <c r="B200" s="1" t="s">
        <v>535</v>
      </c>
      <c r="D200">
        <f>SUM(D2:D197)</f>
        <v>182</v>
      </c>
      <c r="F200">
        <f>SUM(F2:F197)</f>
        <v>106</v>
      </c>
      <c r="I200" s="11">
        <f>MEDIAN(I3:I198)</f>
        <v>10</v>
      </c>
    </row>
    <row r="201" spans="2:9" ht="15.75" customHeight="1" x14ac:dyDescent="0.25">
      <c r="B201" s="1" t="s">
        <v>536</v>
      </c>
      <c r="D201">
        <f>D198-D200</f>
        <v>14</v>
      </c>
      <c r="F201">
        <f>F198-F200</f>
        <v>4</v>
      </c>
    </row>
    <row r="202" spans="2:9" ht="15.75" customHeight="1" x14ac:dyDescent="0.25">
      <c r="E202" s="9" t="s">
        <v>565</v>
      </c>
      <c r="F202" s="15">
        <f>AVERAGE(F2:F197)</f>
        <v>0.96363636363636362</v>
      </c>
    </row>
    <row r="203" spans="2:9" ht="15.75" customHeight="1" x14ac:dyDescent="0.25">
      <c r="E203" s="9" t="s">
        <v>564</v>
      </c>
      <c r="F203" s="15">
        <f>1-F199</f>
        <v>3.6363636363636376E-2</v>
      </c>
    </row>
  </sheetData>
  <autoFilter ref="C1:C201" xr:uid="{00000000-0001-0000-0000-000000000000}">
    <filterColumn colId="0">
      <filters blank="1">
        <filter val="animal on roadway"/>
        <filter val="animal_in_roadway"/>
        <filter val="animal_on_roadway"/>
        <filter val="animals_in_traffic_lane"/>
        <filter val="coastal_infrastructure_erosion_risk"/>
        <filter val="combined_clearance_hazard"/>
        <filter val="conflicting_signal_for_pedestrians_and_vehicles"/>
        <filter val="cross-traffic vehicle conflict"/>
        <filter val="damaged_bike_infrastructure"/>
        <filter val="damaged_infrastructure_pothole"/>
        <filter val="damaged_pavement"/>
        <filter val="damaged_sidewalk_and_pole_base"/>
        <filter val="deteriorated_road_edge"/>
        <filter val="fallen_scooter_in_traffic_area"/>
        <filter val="icy_snow_covered_road"/>
        <filter val="insufficiently_marked_open_manhole"/>
        <filter val="intersection right-of-way violation / near-collision"/>
        <filter val="large animal on roadway"/>
        <filter val="large pothole in traffic lane"/>
        <filter val="large wildlife on roadway"/>
        <filter val="large_animal_in_roadway"/>
        <filter val="large_animal_on_roadway"/>
        <filter val="large_animal_on_roadway_shoulder"/>
        <filter val="large_wild_animal_on_roadway"/>
        <filter val="large_wild_animals_on_roadway"/>
        <filter val="limited_visibility_crosswalk_at_night"/>
        <filter val="litter_environmental_nuisance"/>
        <filter val="lone_person_near_rough_sea"/>
        <filter val="mixed_traffic_with_pedestrians_and_animals"/>
        <filter val="narrow, cluttered pedestrian corridor"/>
        <filter val="narrowed_pedestrian_space"/>
        <filter val="obstruction_and_potential_hazardous_cylinder"/>
        <filter val="open_hole_in_pedestrian_area"/>
        <filter val="open_manhole_in_crosswalk"/>
        <filter val="open_manhole_in_traffic_lane"/>
        <filter val="open_manhole_unprotected"/>
        <filter val="overhead_cable_and_tarp_hazard"/>
        <filter val="overturned_vehicle_obstructing_roadway"/>
        <filter val="pedestrian_activity_in_roadway_margin"/>
        <filter val="pedestrian_in_deep_water_with_vehicle"/>
        <filter val="pedestrians in close proximity to large wild animal"/>
        <filter val="pedestrians_and_stopped_activity_on_high-speed_rural_road"/>
        <filter val="potential_obstruction_of_fire_hydrant"/>
        <filter val="reduced_parking_clearance_due_to_snowbanks"/>
        <filter val="reduced_visibility_haze"/>
        <filter val="road_surface_damage"/>
        <filter val="road_surface_damage_potholes"/>
        <filter val="road_surface_debris"/>
        <filter val="road_surface_deterioration"/>
        <filter val="rough_sea_conditions"/>
        <filter val="rough_sea_with_beachgoers"/>
        <filter val="severe_road_surface_damage"/>
        <filter val="severe_road_surface_failure"/>
        <filter val="severe_road_surface_hazard"/>
        <filter val="severe_roadway_damage"/>
        <filter val="severe_traffic_congestion"/>
        <filter val="severely damaged road surface"/>
        <filter val="severely_damaged_road_surface"/>
        <filter val="severely_damaged_roadway"/>
        <filter val="severely_degraded_road_surface"/>
        <filter val="severely_deteriorated_road_surface"/>
        <filter val="sidewalk obstruction by parked vehicle"/>
        <filter val="sidewalk obstruction by parked vehicles"/>
        <filter val="sidewalk_obstruction"/>
        <filter val="sidewalk_obstruction_and_surface_hazard"/>
        <filter val="sidewalk_obstruction_by_bulk_waste"/>
        <filter val="sidewalk_obstruction_by_debris"/>
        <filter val="sidewalk_obstruction_infrastructure"/>
        <filter val="sidewalk_obstruction_vegetation"/>
        <filter val="sidewalk_obstruction_vehicle"/>
        <filter val="sidewalk_obstruction_waste"/>
        <filter val="slip_and_trip_hazard"/>
        <filter val="slip_contamination_on_road"/>
        <filter val="slip_trip_hazard"/>
        <filter val="slippery road surface"/>
        <filter val="snow_covered_roadway"/>
        <filter val="stopped vehicles and pedestrians mixing on roadway"/>
        <filter val="stopped_vehicle_in_traffic_lane"/>
        <filter val="sun_glare_on_road"/>
        <filter val="trip_and_entanglement_hazard"/>
        <filter val="trip_hazard_from_sculpture_layout"/>
        <filter val="trip_hazard_on_sidewalk"/>
        <filter val="trip_hazard_on_sidewalk_near_crosswalk"/>
        <filter val="trip_hazard_opening"/>
        <filter val="trip_or_fall_hazard"/>
        <filter val="trip_slip_hazard"/>
        <filter val="uncovered_manhole_in_path"/>
        <filter val="uncovered_manhole_near_traffic"/>
        <filter val="uncovered_manhole_or_large_pothole"/>
        <filter val="uneven_damaged_sidewalk_surface"/>
        <filter val="uneven_edge_surface"/>
        <filter val="unprotected_open_manhole"/>
        <filter val="unprotected_open_manhole_or_tank"/>
        <filter val="unsafe close proximity between vehicles"/>
        <filter val="urban_flooding"/>
        <filter val="vehicle_obstructing_sidewalk"/>
        <filter val="vehicle_off_road_crash"/>
        <filter val="vulnerable_users_near_dense_traffic_on_wet_road"/>
        <filter val="widespread_road_deterioration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F0E5-2B9C-4FB0-B1F0-23DA3CDF66A1}">
  <dimension ref="A1:Z118"/>
  <sheetViews>
    <sheetView zoomScale="70" zoomScaleNormal="70" workbookViewId="0">
      <selection activeCell="H8" sqref="H8"/>
    </sheetView>
  </sheetViews>
  <sheetFormatPr defaultRowHeight="13.2" x14ac:dyDescent="0.25"/>
  <cols>
    <col min="1" max="1" width="13.88671875" bestFit="1" customWidth="1"/>
    <col min="2" max="2" width="13.6640625" customWidth="1"/>
    <col min="5" max="5" width="12.109375" bestFit="1" customWidth="1"/>
    <col min="6" max="6" width="11.21875" bestFit="1" customWidth="1"/>
    <col min="7" max="7" width="12.109375" bestFit="1" customWidth="1"/>
    <col min="8" max="8" width="11.88671875" customWidth="1"/>
    <col min="9" max="9" width="14.88671875" bestFit="1" customWidth="1"/>
    <col min="12" max="12" width="14.109375" customWidth="1"/>
    <col min="20" max="20" width="16.5546875" customWidth="1"/>
    <col min="21" max="21" width="15.109375" customWidth="1"/>
  </cols>
  <sheetData>
    <row r="1" spans="1:26" ht="13.8" thickBot="1" x14ac:dyDescent="0.3">
      <c r="A1" s="9"/>
      <c r="B1" s="9" t="s">
        <v>546</v>
      </c>
      <c r="C1">
        <f>C2+C6+C7</f>
        <v>110</v>
      </c>
      <c r="J1" s="1"/>
      <c r="L1" s="2"/>
      <c r="X1" s="9" t="s">
        <v>562</v>
      </c>
      <c r="Y1" s="9" t="s">
        <v>563</v>
      </c>
    </row>
    <row r="2" spans="1:26" ht="17.399999999999999" x14ac:dyDescent="0.3">
      <c r="B2" s="9" t="s">
        <v>537</v>
      </c>
      <c r="C2">
        <f>COUNT(C8:C93)</f>
        <v>86</v>
      </c>
      <c r="E2" s="16"/>
      <c r="F2" s="16" t="s">
        <v>547</v>
      </c>
      <c r="G2" s="16" t="s">
        <v>548</v>
      </c>
      <c r="I2" s="18" t="s">
        <v>557</v>
      </c>
      <c r="J2" s="19">
        <f>F3/(F3+G3)</f>
        <v>0.93023255813953487</v>
      </c>
      <c r="L2" s="2"/>
      <c r="T2" s="9" t="s">
        <v>559</v>
      </c>
      <c r="U2">
        <f>COUNTA(T9:T118)</f>
        <v>110</v>
      </c>
      <c r="X2">
        <v>1</v>
      </c>
      <c r="Y2">
        <f>COUNTIF($V$9:$V$118,X2)</f>
        <v>0</v>
      </c>
      <c r="Z2">
        <f>X2*Y2</f>
        <v>0</v>
      </c>
    </row>
    <row r="3" spans="1:26" ht="17.399999999999999" x14ac:dyDescent="0.3">
      <c r="B3" s="9" t="s">
        <v>543</v>
      </c>
      <c r="C3">
        <f>SUM(C8:C93)</f>
        <v>80</v>
      </c>
      <c r="E3" s="16" t="s">
        <v>547</v>
      </c>
      <c r="F3" s="16">
        <f>C3</f>
        <v>80</v>
      </c>
      <c r="G3" s="16">
        <f>C4</f>
        <v>6</v>
      </c>
      <c r="I3" s="20" t="s">
        <v>554</v>
      </c>
      <c r="J3" s="21">
        <f>G4/(G4+F4)</f>
        <v>0.95833333333333337</v>
      </c>
      <c r="L3" s="2"/>
      <c r="T3" s="9" t="s">
        <v>560</v>
      </c>
      <c r="U3">
        <f>SUM((U9:U118))</f>
        <v>102</v>
      </c>
      <c r="X3">
        <v>2</v>
      </c>
      <c r="Y3">
        <f t="shared" ref="Y3:Y11" si="0">COUNTIF($V$9:$V$118,X3)</f>
        <v>0</v>
      </c>
      <c r="Z3">
        <f t="shared" ref="Z3:Z11" si="1">X3*Y3</f>
        <v>0</v>
      </c>
    </row>
    <row r="4" spans="1:26" ht="17.399999999999999" x14ac:dyDescent="0.3">
      <c r="B4" s="9" t="s">
        <v>544</v>
      </c>
      <c r="C4">
        <f>C2-C3</f>
        <v>6</v>
      </c>
      <c r="E4" s="16" t="s">
        <v>548</v>
      </c>
      <c r="F4" s="16">
        <f>C7</f>
        <v>1</v>
      </c>
      <c r="G4" s="16">
        <f>C6</f>
        <v>23</v>
      </c>
      <c r="I4" s="20" t="s">
        <v>555</v>
      </c>
      <c r="J4" s="21">
        <f>(F3+G4)/C1</f>
        <v>0.9363636363636364</v>
      </c>
      <c r="L4" s="2"/>
      <c r="T4" s="9" t="s">
        <v>561</v>
      </c>
      <c r="U4">
        <f>U2-U3</f>
        <v>8</v>
      </c>
      <c r="X4">
        <v>3</v>
      </c>
      <c r="Y4">
        <f t="shared" si="0"/>
        <v>8</v>
      </c>
      <c r="Z4">
        <f t="shared" si="1"/>
        <v>24</v>
      </c>
    </row>
    <row r="5" spans="1:26" ht="17.399999999999999" x14ac:dyDescent="0.3">
      <c r="B5" s="9" t="s">
        <v>541</v>
      </c>
      <c r="C5">
        <f>L32</f>
        <v>6</v>
      </c>
      <c r="E5" s="17"/>
      <c r="F5" s="17"/>
      <c r="G5" s="17"/>
      <c r="I5" s="20" t="s">
        <v>556</v>
      </c>
      <c r="J5" s="21">
        <f>F3/(F3+F4)</f>
        <v>0.98765432098765427</v>
      </c>
      <c r="L5" s="2"/>
      <c r="X5">
        <v>4</v>
      </c>
      <c r="Y5">
        <f t="shared" si="0"/>
        <v>16</v>
      </c>
      <c r="Z5">
        <f t="shared" si="1"/>
        <v>64</v>
      </c>
    </row>
    <row r="6" spans="1:26" ht="18" thickBot="1" x14ac:dyDescent="0.35">
      <c r="B6" s="9" t="s">
        <v>549</v>
      </c>
      <c r="C6">
        <f>H32</f>
        <v>23</v>
      </c>
      <c r="I6" s="22" t="s">
        <v>558</v>
      </c>
      <c r="J6" s="23">
        <f>2*(J5*J2)/(J5+J2)</f>
        <v>0.95808383233532934</v>
      </c>
      <c r="L6" s="14"/>
      <c r="X6">
        <v>5</v>
      </c>
      <c r="Y6">
        <f t="shared" si="0"/>
        <v>18</v>
      </c>
      <c r="Z6">
        <f t="shared" si="1"/>
        <v>90</v>
      </c>
    </row>
    <row r="7" spans="1:26" x14ac:dyDescent="0.25">
      <c r="B7" s="9" t="s">
        <v>545</v>
      </c>
      <c r="C7">
        <f>O32</f>
        <v>1</v>
      </c>
      <c r="X7">
        <v>6</v>
      </c>
      <c r="Y7">
        <f t="shared" si="0"/>
        <v>22</v>
      </c>
      <c r="Z7">
        <f t="shared" si="1"/>
        <v>132</v>
      </c>
    </row>
    <row r="8" spans="1:26" x14ac:dyDescent="0.25">
      <c r="A8" s="1" t="s">
        <v>5</v>
      </c>
      <c r="B8" s="1" t="s">
        <v>9</v>
      </c>
      <c r="C8" s="1">
        <v>1</v>
      </c>
      <c r="H8" t="s">
        <v>486</v>
      </c>
      <c r="L8" s="9" t="s">
        <v>493</v>
      </c>
      <c r="O8" s="9" t="s">
        <v>529</v>
      </c>
      <c r="T8" s="1" t="s">
        <v>1</v>
      </c>
      <c r="U8" s="1" t="s">
        <v>420</v>
      </c>
      <c r="V8" s="2" t="s">
        <v>2</v>
      </c>
      <c r="X8">
        <v>7</v>
      </c>
      <c r="Y8">
        <f t="shared" si="0"/>
        <v>19</v>
      </c>
      <c r="Z8">
        <f t="shared" si="1"/>
        <v>133</v>
      </c>
    </row>
    <row r="9" spans="1:26" x14ac:dyDescent="0.25">
      <c r="A9" s="1" t="s">
        <v>11</v>
      </c>
      <c r="B9" s="1" t="s">
        <v>9</v>
      </c>
      <c r="C9" s="1">
        <v>1</v>
      </c>
      <c r="H9" t="s">
        <v>487</v>
      </c>
      <c r="L9" s="9" t="s">
        <v>494</v>
      </c>
      <c r="M9" s="9" t="s">
        <v>495</v>
      </c>
      <c r="O9" t="s">
        <v>530</v>
      </c>
      <c r="T9" s="1" t="s">
        <v>6</v>
      </c>
      <c r="U9" s="1">
        <v>1</v>
      </c>
      <c r="V9" s="2">
        <v>6</v>
      </c>
      <c r="X9">
        <v>8</v>
      </c>
      <c r="Y9">
        <f t="shared" si="0"/>
        <v>19</v>
      </c>
      <c r="Z9">
        <f t="shared" si="1"/>
        <v>152</v>
      </c>
    </row>
    <row r="10" spans="1:26" x14ac:dyDescent="0.25">
      <c r="A10" s="1" t="s">
        <v>15</v>
      </c>
      <c r="B10" s="1" t="s">
        <v>9</v>
      </c>
      <c r="C10" s="1">
        <v>1</v>
      </c>
      <c r="H10" t="s">
        <v>488</v>
      </c>
      <c r="L10" s="9" t="s">
        <v>497</v>
      </c>
      <c r="M10" s="9" t="s">
        <v>498</v>
      </c>
      <c r="T10" s="1" t="s">
        <v>12</v>
      </c>
      <c r="U10" s="1">
        <v>1</v>
      </c>
      <c r="V10" s="2">
        <v>4</v>
      </c>
      <c r="X10">
        <v>9</v>
      </c>
      <c r="Y10">
        <f t="shared" si="0"/>
        <v>7</v>
      </c>
      <c r="Z10">
        <f t="shared" si="1"/>
        <v>63</v>
      </c>
    </row>
    <row r="11" spans="1:26" x14ac:dyDescent="0.25">
      <c r="A11" s="1" t="s">
        <v>20</v>
      </c>
      <c r="B11" s="1" t="s">
        <v>9</v>
      </c>
      <c r="C11" s="1">
        <v>1</v>
      </c>
      <c r="H11" s="9" t="s">
        <v>491</v>
      </c>
      <c r="L11" s="9" t="s">
        <v>552</v>
      </c>
      <c r="M11" s="9" t="s">
        <v>553</v>
      </c>
      <c r="T11" s="1" t="s">
        <v>6</v>
      </c>
      <c r="U11" s="1">
        <v>1</v>
      </c>
      <c r="V11" s="2">
        <v>6</v>
      </c>
      <c r="X11">
        <v>10</v>
      </c>
      <c r="Y11">
        <f t="shared" si="0"/>
        <v>1</v>
      </c>
      <c r="Z11">
        <f t="shared" si="1"/>
        <v>10</v>
      </c>
    </row>
    <row r="12" spans="1:26" x14ac:dyDescent="0.25">
      <c r="A12" s="1" t="s">
        <v>25</v>
      </c>
      <c r="B12" s="1" t="s">
        <v>9</v>
      </c>
      <c r="C12" s="1">
        <v>1</v>
      </c>
      <c r="H12" s="9" t="s">
        <v>492</v>
      </c>
      <c r="L12" s="9" t="s">
        <v>509</v>
      </c>
      <c r="M12" t="s">
        <v>510</v>
      </c>
      <c r="T12" s="1" t="s">
        <v>17</v>
      </c>
      <c r="U12" s="1">
        <v>1</v>
      </c>
      <c r="V12" s="2">
        <v>4</v>
      </c>
      <c r="Y12" t="s">
        <v>566</v>
      </c>
      <c r="Z12">
        <f>SUM(Z2:Z11)/SUM(Y2:Y11)</f>
        <v>6.0727272727272723</v>
      </c>
    </row>
    <row r="13" spans="1:26" x14ac:dyDescent="0.25">
      <c r="A13" s="1" t="s">
        <v>29</v>
      </c>
      <c r="B13" s="1" t="s">
        <v>9</v>
      </c>
      <c r="C13" s="1">
        <v>1</v>
      </c>
      <c r="H13" s="9" t="s">
        <v>500</v>
      </c>
      <c r="L13" s="9" t="s">
        <v>512</v>
      </c>
      <c r="M13" t="s">
        <v>513</v>
      </c>
      <c r="T13" s="1" t="s">
        <v>21</v>
      </c>
      <c r="U13" s="1">
        <v>1</v>
      </c>
      <c r="V13" s="2">
        <v>5</v>
      </c>
    </row>
    <row r="14" spans="1:26" x14ac:dyDescent="0.25">
      <c r="A14" s="1" t="s">
        <v>32</v>
      </c>
      <c r="B14" s="1" t="s">
        <v>9</v>
      </c>
      <c r="C14" s="1">
        <v>1</v>
      </c>
      <c r="H14" s="9" t="s">
        <v>501</v>
      </c>
      <c r="L14" s="9" t="s">
        <v>517</v>
      </c>
      <c r="M14" s="9" t="s">
        <v>551</v>
      </c>
      <c r="T14" s="1" t="s">
        <v>26</v>
      </c>
      <c r="U14" s="1">
        <v>1</v>
      </c>
      <c r="V14" s="2">
        <v>6</v>
      </c>
    </row>
    <row r="15" spans="1:26" x14ac:dyDescent="0.25">
      <c r="A15" s="1" t="s">
        <v>42</v>
      </c>
      <c r="B15" s="1" t="s">
        <v>9</v>
      </c>
      <c r="C15" s="1">
        <v>1</v>
      </c>
      <c r="H15" s="9" t="s">
        <v>502</v>
      </c>
      <c r="T15" s="1" t="s">
        <v>6</v>
      </c>
      <c r="U15" s="1">
        <v>1</v>
      </c>
      <c r="V15" s="2">
        <v>5</v>
      </c>
    </row>
    <row r="16" spans="1:26" x14ac:dyDescent="0.25">
      <c r="A16" s="1" t="s">
        <v>46</v>
      </c>
      <c r="B16" s="1" t="s">
        <v>9</v>
      </c>
      <c r="C16" s="1">
        <v>1</v>
      </c>
      <c r="H16" s="9" t="s">
        <v>503</v>
      </c>
      <c r="T16" s="1" t="s">
        <v>33</v>
      </c>
      <c r="U16" s="1">
        <v>1</v>
      </c>
      <c r="V16" s="2">
        <v>5</v>
      </c>
    </row>
    <row r="17" spans="1:22" x14ac:dyDescent="0.25">
      <c r="A17" s="1" t="s">
        <v>51</v>
      </c>
      <c r="B17" s="1" t="s">
        <v>9</v>
      </c>
      <c r="C17" s="1">
        <v>1</v>
      </c>
      <c r="H17" s="9" t="s">
        <v>525</v>
      </c>
      <c r="T17" s="1" t="s">
        <v>36</v>
      </c>
      <c r="U17" s="1">
        <v>1</v>
      </c>
      <c r="V17" s="2">
        <v>6</v>
      </c>
    </row>
    <row r="18" spans="1:22" x14ac:dyDescent="0.25">
      <c r="A18" s="1" t="s">
        <v>56</v>
      </c>
      <c r="B18" s="1" t="s">
        <v>9</v>
      </c>
      <c r="C18" s="1">
        <v>1</v>
      </c>
      <c r="H18" s="9" t="s">
        <v>526</v>
      </c>
      <c r="T18" s="1" t="s">
        <v>38</v>
      </c>
      <c r="U18" s="1">
        <v>1</v>
      </c>
      <c r="V18" s="2">
        <v>4</v>
      </c>
    </row>
    <row r="19" spans="1:22" x14ac:dyDescent="0.25">
      <c r="A19" s="1" t="s">
        <v>60</v>
      </c>
      <c r="B19" s="1" t="s">
        <v>9</v>
      </c>
      <c r="C19" s="1">
        <v>1</v>
      </c>
      <c r="H19" s="9" t="s">
        <v>527</v>
      </c>
      <c r="T19" s="1" t="s">
        <v>43</v>
      </c>
      <c r="U19" s="1">
        <v>1</v>
      </c>
      <c r="V19" s="2">
        <v>6</v>
      </c>
    </row>
    <row r="20" spans="1:22" x14ac:dyDescent="0.25">
      <c r="A20" s="1" t="s">
        <v>67</v>
      </c>
      <c r="B20" s="1" t="s">
        <v>9</v>
      </c>
      <c r="C20" s="1">
        <v>1</v>
      </c>
      <c r="H20" s="9" t="s">
        <v>528</v>
      </c>
      <c r="T20" s="1" t="s">
        <v>47</v>
      </c>
      <c r="U20" s="1">
        <v>1</v>
      </c>
      <c r="V20" s="2">
        <v>7</v>
      </c>
    </row>
    <row r="21" spans="1:22" x14ac:dyDescent="0.25">
      <c r="A21" s="1" t="s">
        <v>72</v>
      </c>
      <c r="B21" s="1" t="s">
        <v>9</v>
      </c>
      <c r="C21" s="1">
        <v>1</v>
      </c>
      <c r="H21" s="9" t="s">
        <v>506</v>
      </c>
      <c r="T21" s="1" t="s">
        <v>52</v>
      </c>
      <c r="U21" s="1">
        <v>1</v>
      </c>
      <c r="V21" s="2">
        <v>9</v>
      </c>
    </row>
    <row r="22" spans="1:22" x14ac:dyDescent="0.25">
      <c r="A22" s="1" t="s">
        <v>77</v>
      </c>
      <c r="B22" s="1" t="s">
        <v>9</v>
      </c>
      <c r="C22" s="1">
        <v>1</v>
      </c>
      <c r="H22" s="9" t="s">
        <v>507</v>
      </c>
      <c r="T22" s="1" t="s">
        <v>57</v>
      </c>
      <c r="U22" s="1">
        <v>1</v>
      </c>
      <c r="V22" s="2">
        <v>8</v>
      </c>
    </row>
    <row r="23" spans="1:22" x14ac:dyDescent="0.25">
      <c r="A23" s="1" t="s">
        <v>82</v>
      </c>
      <c r="B23" s="1" t="s">
        <v>9</v>
      </c>
      <c r="C23" s="1">
        <v>1</v>
      </c>
      <c r="H23" s="9" t="s">
        <v>508</v>
      </c>
      <c r="T23" s="1" t="s">
        <v>61</v>
      </c>
      <c r="U23" s="1">
        <v>1</v>
      </c>
      <c r="V23" s="2">
        <v>8</v>
      </c>
    </row>
    <row r="24" spans="1:22" x14ac:dyDescent="0.25">
      <c r="A24" s="1" t="s">
        <v>86</v>
      </c>
      <c r="B24" s="1" t="s">
        <v>9</v>
      </c>
      <c r="C24" s="1">
        <v>1</v>
      </c>
      <c r="H24" s="9" t="s">
        <v>514</v>
      </c>
      <c r="T24" s="1" t="s">
        <v>64</v>
      </c>
      <c r="U24" s="1">
        <v>1</v>
      </c>
      <c r="V24" s="2">
        <v>5</v>
      </c>
    </row>
    <row r="25" spans="1:22" x14ac:dyDescent="0.25">
      <c r="A25" s="1" t="s">
        <v>93</v>
      </c>
      <c r="B25" s="1" t="s">
        <v>9</v>
      </c>
      <c r="C25" s="1">
        <v>1</v>
      </c>
      <c r="H25" s="9" t="s">
        <v>518</v>
      </c>
      <c r="T25" s="1" t="s">
        <v>68</v>
      </c>
      <c r="U25" s="1">
        <v>1</v>
      </c>
      <c r="V25" s="2">
        <v>8</v>
      </c>
    </row>
    <row r="26" spans="1:22" x14ac:dyDescent="0.25">
      <c r="A26" s="1" t="s">
        <v>98</v>
      </c>
      <c r="B26" s="1" t="s">
        <v>9</v>
      </c>
      <c r="C26" s="1">
        <v>1</v>
      </c>
      <c r="H26" s="9" t="s">
        <v>519</v>
      </c>
      <c r="T26" s="1" t="s">
        <v>73</v>
      </c>
      <c r="U26" s="1">
        <v>1</v>
      </c>
      <c r="V26" s="2">
        <v>8</v>
      </c>
    </row>
    <row r="27" spans="1:22" x14ac:dyDescent="0.25">
      <c r="A27" s="1" t="s">
        <v>102</v>
      </c>
      <c r="B27" s="1" t="s">
        <v>9</v>
      </c>
      <c r="C27" s="1">
        <v>1</v>
      </c>
      <c r="H27" s="9" t="s">
        <v>520</v>
      </c>
      <c r="T27" s="1" t="s">
        <v>78</v>
      </c>
      <c r="U27" s="1">
        <v>1</v>
      </c>
      <c r="V27" s="2">
        <v>8</v>
      </c>
    </row>
    <row r="28" spans="1:22" x14ac:dyDescent="0.25">
      <c r="A28" s="1" t="s">
        <v>106</v>
      </c>
      <c r="B28" s="1" t="s">
        <v>9</v>
      </c>
      <c r="C28" s="1">
        <v>1</v>
      </c>
      <c r="H28" s="9" t="s">
        <v>521</v>
      </c>
      <c r="T28" s="1" t="s">
        <v>83</v>
      </c>
      <c r="U28" s="1">
        <v>1</v>
      </c>
      <c r="V28" s="2">
        <v>7</v>
      </c>
    </row>
    <row r="29" spans="1:22" x14ac:dyDescent="0.25">
      <c r="A29" s="1" t="s">
        <v>111</v>
      </c>
      <c r="B29" s="1" t="s">
        <v>9</v>
      </c>
      <c r="C29" s="1">
        <v>1</v>
      </c>
      <c r="H29" s="9" t="s">
        <v>522</v>
      </c>
      <c r="T29" s="1" t="s">
        <v>87</v>
      </c>
      <c r="U29" s="1">
        <v>1</v>
      </c>
      <c r="V29" s="2">
        <v>8</v>
      </c>
    </row>
    <row r="30" spans="1:22" x14ac:dyDescent="0.25">
      <c r="A30" s="1" t="s">
        <v>116</v>
      </c>
      <c r="B30" s="1" t="s">
        <v>9</v>
      </c>
      <c r="C30" s="1">
        <v>1</v>
      </c>
      <c r="H30" s="9" t="s">
        <v>523</v>
      </c>
      <c r="T30" s="1" t="s">
        <v>90</v>
      </c>
      <c r="U30" s="1">
        <v>1</v>
      </c>
      <c r="V30" s="2">
        <v>6</v>
      </c>
    </row>
    <row r="31" spans="1:22" x14ac:dyDescent="0.25">
      <c r="A31" s="1" t="s">
        <v>124</v>
      </c>
      <c r="B31" s="1" t="s">
        <v>9</v>
      </c>
      <c r="C31" s="1">
        <v>1</v>
      </c>
      <c r="H31" s="9" t="s">
        <v>524</v>
      </c>
      <c r="T31" s="1" t="s">
        <v>94</v>
      </c>
      <c r="U31" s="1">
        <v>1</v>
      </c>
      <c r="V31" s="2">
        <v>6</v>
      </c>
    </row>
    <row r="32" spans="1:22" x14ac:dyDescent="0.25">
      <c r="A32" s="1" t="s">
        <v>128</v>
      </c>
      <c r="B32" s="1" t="s">
        <v>9</v>
      </c>
      <c r="C32" s="1">
        <v>1</v>
      </c>
      <c r="G32" s="9" t="s">
        <v>550</v>
      </c>
      <c r="H32">
        <f>COUNTA((H9:H31))</f>
        <v>23</v>
      </c>
      <c r="K32" s="9" t="s">
        <v>541</v>
      </c>
      <c r="L32">
        <f t="shared" ref="L32:O32" si="2">COUNTA((L9:L31))</f>
        <v>6</v>
      </c>
      <c r="N32" s="9" t="s">
        <v>542</v>
      </c>
      <c r="O32">
        <f t="shared" si="2"/>
        <v>1</v>
      </c>
      <c r="T32" s="1" t="s">
        <v>99</v>
      </c>
      <c r="U32" s="1">
        <v>1</v>
      </c>
      <c r="V32" s="2">
        <v>8</v>
      </c>
    </row>
    <row r="33" spans="1:22" x14ac:dyDescent="0.25">
      <c r="A33" s="1" t="s">
        <v>132</v>
      </c>
      <c r="B33" s="1" t="s">
        <v>9</v>
      </c>
      <c r="C33" s="1">
        <v>1</v>
      </c>
      <c r="T33" s="1" t="s">
        <v>47</v>
      </c>
      <c r="U33" s="1">
        <v>1</v>
      </c>
      <c r="V33" s="2">
        <v>9</v>
      </c>
    </row>
    <row r="34" spans="1:22" x14ac:dyDescent="0.25">
      <c r="A34" s="1" t="s">
        <v>135</v>
      </c>
      <c r="B34" s="1" t="s">
        <v>9</v>
      </c>
      <c r="C34" s="1">
        <v>1</v>
      </c>
      <c r="T34" s="1" t="s">
        <v>107</v>
      </c>
      <c r="U34" s="1">
        <v>1</v>
      </c>
      <c r="V34" s="2">
        <v>8</v>
      </c>
    </row>
    <row r="35" spans="1:22" x14ac:dyDescent="0.25">
      <c r="A35" s="1" t="s">
        <v>139</v>
      </c>
      <c r="B35" s="1" t="s">
        <v>9</v>
      </c>
      <c r="C35" s="1">
        <v>1</v>
      </c>
      <c r="T35" s="1" t="s">
        <v>112</v>
      </c>
      <c r="U35" s="1">
        <v>1</v>
      </c>
      <c r="V35" s="2">
        <v>8</v>
      </c>
    </row>
    <row r="36" spans="1:22" x14ac:dyDescent="0.25">
      <c r="A36" s="1" t="s">
        <v>142</v>
      </c>
      <c r="B36" s="1" t="s">
        <v>9</v>
      </c>
      <c r="C36" s="1">
        <v>1</v>
      </c>
      <c r="T36" s="1" t="s">
        <v>117</v>
      </c>
      <c r="U36" s="1">
        <v>1</v>
      </c>
      <c r="V36" s="2">
        <v>6</v>
      </c>
    </row>
    <row r="37" spans="1:22" x14ac:dyDescent="0.25">
      <c r="A37" s="1" t="s">
        <v>149</v>
      </c>
      <c r="B37" s="1" t="s">
        <v>9</v>
      </c>
      <c r="C37" s="1">
        <v>1</v>
      </c>
      <c r="T37" s="1" t="s">
        <v>120</v>
      </c>
      <c r="U37" s="1">
        <v>1</v>
      </c>
      <c r="V37" s="2">
        <v>7</v>
      </c>
    </row>
    <row r="38" spans="1:22" x14ac:dyDescent="0.25">
      <c r="A38" s="1" t="s">
        <v>153</v>
      </c>
      <c r="B38" s="1" t="s">
        <v>9</v>
      </c>
      <c r="C38" s="1">
        <v>1</v>
      </c>
      <c r="T38" s="1" t="s">
        <v>125</v>
      </c>
      <c r="U38" s="1">
        <v>1</v>
      </c>
      <c r="V38" s="2">
        <v>7</v>
      </c>
    </row>
    <row r="39" spans="1:22" x14ac:dyDescent="0.25">
      <c r="A39" s="1" t="s">
        <v>157</v>
      </c>
      <c r="B39" s="1" t="s">
        <v>9</v>
      </c>
      <c r="C39" s="1">
        <v>1</v>
      </c>
      <c r="T39" s="1" t="s">
        <v>129</v>
      </c>
      <c r="U39" s="1">
        <v>1</v>
      </c>
      <c r="V39" s="2">
        <v>7</v>
      </c>
    </row>
    <row r="40" spans="1:22" x14ac:dyDescent="0.25">
      <c r="A40" s="1" t="s">
        <v>161</v>
      </c>
      <c r="B40" s="1" t="s">
        <v>9</v>
      </c>
      <c r="C40" s="1">
        <v>1</v>
      </c>
      <c r="T40" s="1" t="s">
        <v>112</v>
      </c>
      <c r="U40" s="1">
        <v>1</v>
      </c>
      <c r="V40" s="2">
        <v>7</v>
      </c>
    </row>
    <row r="41" spans="1:22" x14ac:dyDescent="0.25">
      <c r="A41" s="1" t="s">
        <v>168</v>
      </c>
      <c r="B41" s="1" t="s">
        <v>9</v>
      </c>
      <c r="C41" s="1">
        <v>1</v>
      </c>
      <c r="T41" s="1" t="s">
        <v>136</v>
      </c>
      <c r="U41" s="1">
        <v>1</v>
      </c>
      <c r="V41" s="2">
        <v>5</v>
      </c>
    </row>
    <row r="42" spans="1:22" x14ac:dyDescent="0.25">
      <c r="A42" s="1" t="s">
        <v>173</v>
      </c>
      <c r="B42" s="1" t="s">
        <v>9</v>
      </c>
      <c r="C42" s="1">
        <v>1</v>
      </c>
      <c r="T42" s="1" t="s">
        <v>112</v>
      </c>
      <c r="U42" s="1">
        <v>1</v>
      </c>
      <c r="V42" s="2">
        <v>8</v>
      </c>
    </row>
    <row r="43" spans="1:22" x14ac:dyDescent="0.25">
      <c r="A43" s="1" t="s">
        <v>177</v>
      </c>
      <c r="B43" s="1" t="s">
        <v>9</v>
      </c>
      <c r="C43" s="1">
        <v>1</v>
      </c>
      <c r="T43" s="1" t="s">
        <v>143</v>
      </c>
      <c r="U43" s="1">
        <v>1</v>
      </c>
      <c r="V43" s="2">
        <v>6</v>
      </c>
    </row>
    <row r="44" spans="1:22" x14ac:dyDescent="0.25">
      <c r="A44" s="1" t="s">
        <v>180</v>
      </c>
      <c r="B44" s="1" t="s">
        <v>9</v>
      </c>
      <c r="C44" s="1">
        <v>1</v>
      </c>
      <c r="T44" s="1" t="s">
        <v>146</v>
      </c>
      <c r="U44" s="1">
        <v>1</v>
      </c>
      <c r="V44" s="2">
        <v>5</v>
      </c>
    </row>
    <row r="45" spans="1:22" x14ac:dyDescent="0.25">
      <c r="A45" s="1" t="s">
        <v>184</v>
      </c>
      <c r="B45" s="1" t="s">
        <v>9</v>
      </c>
      <c r="C45" s="1">
        <v>1</v>
      </c>
      <c r="T45" s="1" t="s">
        <v>150</v>
      </c>
      <c r="U45" s="1">
        <v>1</v>
      </c>
      <c r="V45" s="2">
        <v>6</v>
      </c>
    </row>
    <row r="46" spans="1:22" x14ac:dyDescent="0.25">
      <c r="A46" s="1" t="s">
        <v>188</v>
      </c>
      <c r="B46" s="1" t="s">
        <v>9</v>
      </c>
      <c r="C46" s="1">
        <v>1</v>
      </c>
      <c r="T46" s="1" t="s">
        <v>154</v>
      </c>
      <c r="U46" s="1">
        <v>1</v>
      </c>
      <c r="V46" s="2">
        <v>7</v>
      </c>
    </row>
    <row r="47" spans="1:22" x14ac:dyDescent="0.25">
      <c r="A47" s="1" t="s">
        <v>191</v>
      </c>
      <c r="B47" s="1" t="s">
        <v>9</v>
      </c>
      <c r="C47" s="1">
        <v>0</v>
      </c>
      <c r="T47" s="1" t="s">
        <v>158</v>
      </c>
      <c r="U47" s="1">
        <v>1</v>
      </c>
      <c r="V47" s="2">
        <v>10</v>
      </c>
    </row>
    <row r="48" spans="1:22" x14ac:dyDescent="0.25">
      <c r="A48" s="1" t="s">
        <v>196</v>
      </c>
      <c r="B48" s="1" t="s">
        <v>9</v>
      </c>
      <c r="C48" s="1">
        <v>1</v>
      </c>
      <c r="T48" s="1" t="s">
        <v>162</v>
      </c>
      <c r="U48" s="1">
        <v>1</v>
      </c>
      <c r="V48" s="2">
        <v>9</v>
      </c>
    </row>
    <row r="49" spans="1:22" x14ac:dyDescent="0.25">
      <c r="A49" s="1" t="s">
        <v>201</v>
      </c>
      <c r="B49" s="1" t="s">
        <v>9</v>
      </c>
      <c r="C49" s="1">
        <v>0</v>
      </c>
      <c r="T49" s="1" t="s">
        <v>164</v>
      </c>
      <c r="U49" s="1">
        <v>1</v>
      </c>
      <c r="V49" s="2">
        <v>7</v>
      </c>
    </row>
    <row r="50" spans="1:22" x14ac:dyDescent="0.25">
      <c r="A50" s="1" t="s">
        <v>205</v>
      </c>
      <c r="B50" s="1" t="s">
        <v>9</v>
      </c>
      <c r="C50" s="1">
        <v>1</v>
      </c>
      <c r="T50" s="1" t="s">
        <v>169</v>
      </c>
      <c r="U50" s="1">
        <v>1</v>
      </c>
      <c r="V50" s="2">
        <v>6</v>
      </c>
    </row>
    <row r="51" spans="1:22" x14ac:dyDescent="0.25">
      <c r="A51" s="1" t="s">
        <v>209</v>
      </c>
      <c r="B51" s="1" t="s">
        <v>9</v>
      </c>
      <c r="C51" s="1">
        <v>1</v>
      </c>
      <c r="T51" s="1" t="s">
        <v>174</v>
      </c>
      <c r="U51" s="1">
        <v>1</v>
      </c>
      <c r="V51" s="2">
        <v>3</v>
      </c>
    </row>
    <row r="52" spans="1:22" x14ac:dyDescent="0.25">
      <c r="A52" s="1" t="s">
        <v>213</v>
      </c>
      <c r="B52" s="1" t="s">
        <v>9</v>
      </c>
      <c r="C52" s="1">
        <v>1</v>
      </c>
      <c r="T52" s="1" t="s">
        <v>112</v>
      </c>
      <c r="U52" s="1">
        <v>1</v>
      </c>
      <c r="V52" s="2">
        <v>9</v>
      </c>
    </row>
    <row r="53" spans="1:22" x14ac:dyDescent="0.25">
      <c r="A53" s="1" t="s">
        <v>218</v>
      </c>
      <c r="B53" s="1" t="s">
        <v>9</v>
      </c>
      <c r="C53" s="1">
        <v>1</v>
      </c>
      <c r="T53" s="1" t="s">
        <v>181</v>
      </c>
      <c r="U53" s="1">
        <v>1</v>
      </c>
      <c r="V53" s="2">
        <v>7</v>
      </c>
    </row>
    <row r="54" spans="1:22" x14ac:dyDescent="0.25">
      <c r="A54" s="1" t="s">
        <v>222</v>
      </c>
      <c r="B54" s="1" t="s">
        <v>9</v>
      </c>
      <c r="C54" s="1">
        <v>1</v>
      </c>
      <c r="T54" s="1" t="s">
        <v>185</v>
      </c>
      <c r="U54" s="1">
        <v>1</v>
      </c>
      <c r="V54" s="2">
        <v>6</v>
      </c>
    </row>
    <row r="55" spans="1:22" x14ac:dyDescent="0.25">
      <c r="A55" s="1" t="s">
        <v>226</v>
      </c>
      <c r="B55" s="1" t="s">
        <v>9</v>
      </c>
      <c r="C55" s="1">
        <v>1</v>
      </c>
      <c r="T55" s="1" t="s">
        <v>112</v>
      </c>
      <c r="U55" s="1">
        <v>1</v>
      </c>
      <c r="V55" s="2">
        <v>7</v>
      </c>
    </row>
    <row r="56" spans="1:22" x14ac:dyDescent="0.25">
      <c r="A56" s="1" t="s">
        <v>236</v>
      </c>
      <c r="B56" s="1" t="s">
        <v>9</v>
      </c>
      <c r="C56" s="1">
        <v>1</v>
      </c>
      <c r="T56" s="1" t="s">
        <v>192</v>
      </c>
      <c r="U56" s="1">
        <v>0</v>
      </c>
      <c r="V56" s="2">
        <v>7</v>
      </c>
    </row>
    <row r="57" spans="1:22" x14ac:dyDescent="0.25">
      <c r="A57" s="1" t="s">
        <v>242</v>
      </c>
      <c r="B57" s="1" t="s">
        <v>9</v>
      </c>
      <c r="C57" s="1">
        <v>0</v>
      </c>
      <c r="T57" s="1" t="s">
        <v>197</v>
      </c>
      <c r="U57" s="1">
        <v>1</v>
      </c>
      <c r="V57" s="2">
        <v>4</v>
      </c>
    </row>
    <row r="58" spans="1:22" x14ac:dyDescent="0.25">
      <c r="A58" s="1" t="s">
        <v>246</v>
      </c>
      <c r="B58" s="1" t="s">
        <v>9</v>
      </c>
      <c r="C58" s="1">
        <v>1</v>
      </c>
      <c r="T58" s="1" t="s">
        <v>202</v>
      </c>
      <c r="U58" s="1">
        <v>0</v>
      </c>
      <c r="V58" s="2">
        <v>8</v>
      </c>
    </row>
    <row r="59" spans="1:22" x14ac:dyDescent="0.25">
      <c r="A59" s="1" t="s">
        <v>250</v>
      </c>
      <c r="B59" s="1" t="s">
        <v>9</v>
      </c>
      <c r="C59" s="1">
        <v>1</v>
      </c>
      <c r="T59" s="1" t="s">
        <v>206</v>
      </c>
      <c r="U59" s="1">
        <v>1</v>
      </c>
      <c r="V59" s="2">
        <v>4</v>
      </c>
    </row>
    <row r="60" spans="1:22" x14ac:dyDescent="0.25">
      <c r="A60" s="1" t="s">
        <v>253</v>
      </c>
      <c r="B60" s="1" t="s">
        <v>9</v>
      </c>
      <c r="C60" s="1">
        <v>1</v>
      </c>
      <c r="T60" s="1" t="s">
        <v>210</v>
      </c>
      <c r="U60" s="1">
        <v>1</v>
      </c>
      <c r="V60" s="2">
        <v>4</v>
      </c>
    </row>
    <row r="61" spans="1:22" x14ac:dyDescent="0.25">
      <c r="A61" s="1" t="s">
        <v>257</v>
      </c>
      <c r="B61" s="1" t="s">
        <v>9</v>
      </c>
      <c r="C61" s="1">
        <v>1</v>
      </c>
      <c r="T61" s="1" t="s">
        <v>214</v>
      </c>
      <c r="U61" s="1">
        <v>1</v>
      </c>
      <c r="V61" s="2">
        <v>8</v>
      </c>
    </row>
    <row r="62" spans="1:22" x14ac:dyDescent="0.25">
      <c r="A62" s="1" t="s">
        <v>261</v>
      </c>
      <c r="B62" s="1" t="s">
        <v>9</v>
      </c>
      <c r="C62" s="1">
        <v>1</v>
      </c>
      <c r="T62" s="1" t="s">
        <v>219</v>
      </c>
      <c r="U62" s="1">
        <v>1</v>
      </c>
      <c r="V62" s="2">
        <v>7</v>
      </c>
    </row>
    <row r="63" spans="1:22" x14ac:dyDescent="0.25">
      <c r="A63" s="1" t="s">
        <v>268</v>
      </c>
      <c r="B63" s="1" t="s">
        <v>9</v>
      </c>
      <c r="C63" s="1">
        <v>1</v>
      </c>
      <c r="T63" s="1" t="s">
        <v>223</v>
      </c>
      <c r="U63" s="1">
        <v>1</v>
      </c>
      <c r="V63" s="2">
        <v>6</v>
      </c>
    </row>
    <row r="64" spans="1:22" x14ac:dyDescent="0.25">
      <c r="A64" s="1" t="s">
        <v>272</v>
      </c>
      <c r="B64" s="1" t="s">
        <v>9</v>
      </c>
      <c r="C64" s="1">
        <v>1</v>
      </c>
      <c r="T64" s="1" t="s">
        <v>227</v>
      </c>
      <c r="U64" s="1">
        <v>1</v>
      </c>
      <c r="V64" s="2">
        <v>7</v>
      </c>
    </row>
    <row r="65" spans="1:22" x14ac:dyDescent="0.25">
      <c r="A65" s="1" t="s">
        <v>276</v>
      </c>
      <c r="B65" s="1" t="s">
        <v>9</v>
      </c>
      <c r="C65" s="1">
        <v>1</v>
      </c>
      <c r="T65" s="1" t="s">
        <v>230</v>
      </c>
      <c r="U65" s="1">
        <v>1</v>
      </c>
      <c r="V65" s="2">
        <v>6</v>
      </c>
    </row>
    <row r="66" spans="1:22" x14ac:dyDescent="0.25">
      <c r="A66" s="1" t="s">
        <v>280</v>
      </c>
      <c r="B66" s="1" t="s">
        <v>9</v>
      </c>
      <c r="C66" s="1">
        <v>1</v>
      </c>
      <c r="T66" s="1" t="s">
        <v>233</v>
      </c>
      <c r="U66" s="1">
        <v>1</v>
      </c>
      <c r="V66" s="2">
        <v>8</v>
      </c>
    </row>
    <row r="67" spans="1:22" x14ac:dyDescent="0.25">
      <c r="A67" s="10" t="s">
        <v>284</v>
      </c>
      <c r="B67" s="1" t="s">
        <v>9</v>
      </c>
      <c r="C67" s="1">
        <v>1</v>
      </c>
      <c r="T67" s="1" t="s">
        <v>237</v>
      </c>
      <c r="U67" s="1">
        <v>1</v>
      </c>
      <c r="V67" s="2">
        <v>5</v>
      </c>
    </row>
    <row r="68" spans="1:22" x14ac:dyDescent="0.25">
      <c r="A68" s="10" t="s">
        <v>290</v>
      </c>
      <c r="B68" s="1" t="s">
        <v>9</v>
      </c>
      <c r="C68" s="1">
        <v>1</v>
      </c>
      <c r="T68" s="1" t="s">
        <v>239</v>
      </c>
      <c r="U68" s="1">
        <v>1</v>
      </c>
      <c r="V68" s="2">
        <v>4</v>
      </c>
    </row>
    <row r="69" spans="1:22" x14ac:dyDescent="0.25">
      <c r="A69" s="10" t="s">
        <v>295</v>
      </c>
      <c r="B69" s="1" t="s">
        <v>9</v>
      </c>
      <c r="C69" s="1">
        <v>1</v>
      </c>
      <c r="T69" s="1" t="s">
        <v>243</v>
      </c>
      <c r="U69" s="1">
        <v>0</v>
      </c>
      <c r="V69" s="2">
        <v>5</v>
      </c>
    </row>
    <row r="70" spans="1:22" x14ac:dyDescent="0.25">
      <c r="A70" s="10" t="s">
        <v>298</v>
      </c>
      <c r="B70" s="1" t="s">
        <v>9</v>
      </c>
      <c r="C70" s="1">
        <v>1</v>
      </c>
      <c r="T70" s="1" t="s">
        <v>247</v>
      </c>
      <c r="U70" s="1">
        <v>1</v>
      </c>
      <c r="V70" s="2">
        <v>5</v>
      </c>
    </row>
    <row r="71" spans="1:22" x14ac:dyDescent="0.25">
      <c r="A71" s="1" t="s">
        <v>302</v>
      </c>
      <c r="B71" s="1" t="s">
        <v>9</v>
      </c>
      <c r="C71" s="1">
        <v>1</v>
      </c>
      <c r="T71" s="1" t="s">
        <v>6</v>
      </c>
      <c r="U71" s="1">
        <v>1</v>
      </c>
      <c r="V71" s="2">
        <v>4</v>
      </c>
    </row>
    <row r="72" spans="1:22" x14ac:dyDescent="0.25">
      <c r="A72" s="1" t="s">
        <v>306</v>
      </c>
      <c r="B72" s="1" t="s">
        <v>9</v>
      </c>
      <c r="C72" s="1">
        <v>1</v>
      </c>
      <c r="T72" s="1" t="s">
        <v>254</v>
      </c>
      <c r="U72" s="1">
        <v>1</v>
      </c>
      <c r="V72" s="2">
        <v>6</v>
      </c>
    </row>
    <row r="73" spans="1:22" x14ac:dyDescent="0.25">
      <c r="A73" s="1" t="s">
        <v>311</v>
      </c>
      <c r="B73" s="1" t="s">
        <v>9</v>
      </c>
      <c r="C73" s="1">
        <v>1</v>
      </c>
      <c r="T73" s="1" t="s">
        <v>258</v>
      </c>
      <c r="U73" s="1">
        <v>1</v>
      </c>
      <c r="V73" s="2">
        <v>5</v>
      </c>
    </row>
    <row r="74" spans="1:22" x14ac:dyDescent="0.25">
      <c r="A74" s="1" t="s">
        <v>315</v>
      </c>
      <c r="B74" s="1" t="s">
        <v>9</v>
      </c>
      <c r="C74" s="1">
        <v>1</v>
      </c>
      <c r="T74" s="1" t="s">
        <v>262</v>
      </c>
      <c r="U74" s="1">
        <v>1</v>
      </c>
      <c r="V74" s="2">
        <v>6</v>
      </c>
    </row>
    <row r="75" spans="1:22" x14ac:dyDescent="0.25">
      <c r="A75" s="1" t="s">
        <v>321</v>
      </c>
      <c r="B75" s="1" t="s">
        <v>9</v>
      </c>
      <c r="C75" s="1">
        <v>1</v>
      </c>
      <c r="T75" s="1" t="s">
        <v>264</v>
      </c>
      <c r="U75" s="1">
        <v>1</v>
      </c>
      <c r="V75" s="2">
        <v>3</v>
      </c>
    </row>
    <row r="76" spans="1:22" x14ac:dyDescent="0.25">
      <c r="A76" s="1" t="s">
        <v>325</v>
      </c>
      <c r="B76" s="1" t="s">
        <v>9</v>
      </c>
      <c r="C76" s="1">
        <v>1</v>
      </c>
      <c r="T76" s="1" t="s">
        <v>269</v>
      </c>
      <c r="U76" s="1">
        <v>1</v>
      </c>
      <c r="V76" s="2">
        <v>7</v>
      </c>
    </row>
    <row r="77" spans="1:22" x14ac:dyDescent="0.25">
      <c r="A77" s="1" t="s">
        <v>329</v>
      </c>
      <c r="B77" s="1" t="s">
        <v>9</v>
      </c>
      <c r="C77" s="1">
        <v>1</v>
      </c>
      <c r="T77" s="1" t="s">
        <v>219</v>
      </c>
      <c r="U77" s="1">
        <v>1</v>
      </c>
      <c r="V77" s="2">
        <v>8</v>
      </c>
    </row>
    <row r="78" spans="1:22" x14ac:dyDescent="0.25">
      <c r="A78" s="1" t="s">
        <v>333</v>
      </c>
      <c r="B78" s="1" t="s">
        <v>9</v>
      </c>
      <c r="C78" s="1">
        <v>1</v>
      </c>
      <c r="T78" s="1" t="s">
        <v>277</v>
      </c>
      <c r="U78" s="1">
        <v>1</v>
      </c>
      <c r="V78" s="2">
        <v>5</v>
      </c>
    </row>
    <row r="79" spans="1:22" x14ac:dyDescent="0.25">
      <c r="A79" s="1" t="s">
        <v>339</v>
      </c>
      <c r="B79" s="1" t="s">
        <v>9</v>
      </c>
      <c r="C79" s="1">
        <v>1</v>
      </c>
      <c r="T79" s="1" t="s">
        <v>281</v>
      </c>
      <c r="U79" s="1">
        <v>1</v>
      </c>
      <c r="V79" s="2">
        <v>4</v>
      </c>
    </row>
    <row r="80" spans="1:22" x14ac:dyDescent="0.25">
      <c r="A80" s="1" t="s">
        <v>343</v>
      </c>
      <c r="B80" s="1" t="s">
        <v>9</v>
      </c>
      <c r="C80" s="1">
        <v>1</v>
      </c>
      <c r="T80" s="8" t="s">
        <v>285</v>
      </c>
      <c r="U80" s="1">
        <v>0</v>
      </c>
      <c r="V80" s="2">
        <v>5</v>
      </c>
    </row>
    <row r="81" spans="1:22" x14ac:dyDescent="0.25">
      <c r="A81" s="1" t="s">
        <v>352</v>
      </c>
      <c r="B81" s="1" t="s">
        <v>9</v>
      </c>
      <c r="C81" s="1">
        <v>0</v>
      </c>
      <c r="T81" s="1" t="s">
        <v>287</v>
      </c>
      <c r="U81" s="1">
        <v>1</v>
      </c>
      <c r="V81" s="2">
        <v>4</v>
      </c>
    </row>
    <row r="82" spans="1:22" x14ac:dyDescent="0.25">
      <c r="A82" s="1" t="s">
        <v>356</v>
      </c>
      <c r="B82" s="1" t="s">
        <v>9</v>
      </c>
      <c r="C82" s="1">
        <v>1</v>
      </c>
      <c r="T82" s="1" t="s">
        <v>291</v>
      </c>
      <c r="U82" s="1">
        <v>1</v>
      </c>
      <c r="V82" s="2">
        <v>3</v>
      </c>
    </row>
    <row r="83" spans="1:22" x14ac:dyDescent="0.25">
      <c r="A83" s="1" t="s">
        <v>360</v>
      </c>
      <c r="B83" s="1" t="s">
        <v>9</v>
      </c>
      <c r="C83" s="1">
        <v>1</v>
      </c>
      <c r="T83" s="1" t="s">
        <v>291</v>
      </c>
      <c r="U83" s="1">
        <v>1</v>
      </c>
      <c r="V83" s="2">
        <v>5</v>
      </c>
    </row>
    <row r="84" spans="1:22" x14ac:dyDescent="0.25">
      <c r="A84" s="1" t="s">
        <v>366</v>
      </c>
      <c r="B84" s="1" t="s">
        <v>9</v>
      </c>
      <c r="C84" s="1">
        <v>0</v>
      </c>
      <c r="T84" s="1" t="s">
        <v>299</v>
      </c>
      <c r="U84" s="1">
        <v>0</v>
      </c>
      <c r="V84" s="2">
        <v>4</v>
      </c>
    </row>
    <row r="85" spans="1:22" x14ac:dyDescent="0.25">
      <c r="A85" s="1" t="s">
        <v>370</v>
      </c>
      <c r="B85" s="1" t="s">
        <v>9</v>
      </c>
      <c r="C85" s="1">
        <v>0</v>
      </c>
      <c r="T85" s="1" t="s">
        <v>303</v>
      </c>
      <c r="U85" s="1">
        <v>1</v>
      </c>
      <c r="V85" s="2">
        <v>9</v>
      </c>
    </row>
    <row r="86" spans="1:22" x14ac:dyDescent="0.25">
      <c r="A86" s="1" t="s">
        <v>375</v>
      </c>
      <c r="B86" s="1" t="s">
        <v>9</v>
      </c>
      <c r="C86" s="1">
        <v>1</v>
      </c>
      <c r="T86" s="1" t="s">
        <v>307</v>
      </c>
      <c r="U86" s="1">
        <v>1</v>
      </c>
      <c r="V86" s="2">
        <v>9</v>
      </c>
    </row>
    <row r="87" spans="1:22" x14ac:dyDescent="0.25">
      <c r="A87" s="1" t="s">
        <v>379</v>
      </c>
      <c r="B87" s="1" t="s">
        <v>9</v>
      </c>
      <c r="C87" s="1">
        <v>1</v>
      </c>
      <c r="T87" s="1" t="s">
        <v>312</v>
      </c>
      <c r="U87" s="1">
        <v>1</v>
      </c>
      <c r="V87" s="2">
        <v>7</v>
      </c>
    </row>
    <row r="88" spans="1:22" x14ac:dyDescent="0.25">
      <c r="A88" s="1" t="s">
        <v>383</v>
      </c>
      <c r="B88" s="1" t="s">
        <v>9</v>
      </c>
      <c r="C88" s="1">
        <v>1</v>
      </c>
      <c r="T88" s="1" t="s">
        <v>316</v>
      </c>
      <c r="U88" s="1">
        <v>1</v>
      </c>
      <c r="V88" s="2">
        <v>6</v>
      </c>
    </row>
    <row r="89" spans="1:22" x14ac:dyDescent="0.25">
      <c r="A89" s="1" t="s">
        <v>387</v>
      </c>
      <c r="B89" s="1" t="s">
        <v>9</v>
      </c>
      <c r="C89" s="1">
        <v>1</v>
      </c>
      <c r="T89" s="1" t="s">
        <v>318</v>
      </c>
      <c r="U89" s="1">
        <v>1</v>
      </c>
      <c r="V89" s="2">
        <v>3</v>
      </c>
    </row>
    <row r="90" spans="1:22" x14ac:dyDescent="0.25">
      <c r="A90" s="1" t="s">
        <v>394</v>
      </c>
      <c r="B90" s="1" t="s">
        <v>9</v>
      </c>
      <c r="C90" s="1">
        <v>1</v>
      </c>
      <c r="T90" s="1" t="s">
        <v>322</v>
      </c>
      <c r="U90" s="1">
        <v>1</v>
      </c>
      <c r="V90" s="2">
        <v>7</v>
      </c>
    </row>
    <row r="91" spans="1:22" x14ac:dyDescent="0.25">
      <c r="A91" s="1" t="s">
        <v>400</v>
      </c>
      <c r="B91" s="1" t="s">
        <v>9</v>
      </c>
      <c r="C91" s="1">
        <v>1</v>
      </c>
      <c r="T91" s="1" t="s">
        <v>326</v>
      </c>
      <c r="U91" s="1">
        <v>1</v>
      </c>
      <c r="V91" s="2">
        <v>7</v>
      </c>
    </row>
    <row r="92" spans="1:22" x14ac:dyDescent="0.25">
      <c r="A92" s="1" t="s">
        <v>406</v>
      </c>
      <c r="B92" s="1" t="s">
        <v>9</v>
      </c>
      <c r="C92" s="1">
        <v>1</v>
      </c>
      <c r="T92" s="1" t="s">
        <v>330</v>
      </c>
      <c r="U92" s="1">
        <v>1</v>
      </c>
      <c r="V92" s="2">
        <v>6</v>
      </c>
    </row>
    <row r="93" spans="1:22" x14ac:dyDescent="0.25">
      <c r="A93" s="1" t="s">
        <v>412</v>
      </c>
      <c r="B93" s="1" t="s">
        <v>9</v>
      </c>
      <c r="C93" s="1">
        <v>1</v>
      </c>
      <c r="T93" s="1" t="s">
        <v>334</v>
      </c>
      <c r="U93" s="1">
        <v>1</v>
      </c>
      <c r="V93" s="2">
        <v>8</v>
      </c>
    </row>
    <row r="94" spans="1:22" x14ac:dyDescent="0.25">
      <c r="T94" s="1" t="s">
        <v>336</v>
      </c>
      <c r="U94" s="1">
        <v>1</v>
      </c>
      <c r="V94" s="2">
        <v>5</v>
      </c>
    </row>
    <row r="95" spans="1:22" x14ac:dyDescent="0.25">
      <c r="T95" s="1" t="s">
        <v>340</v>
      </c>
      <c r="U95" s="1">
        <v>1</v>
      </c>
      <c r="V95" s="2">
        <v>8</v>
      </c>
    </row>
    <row r="96" spans="1:22" x14ac:dyDescent="0.25">
      <c r="T96" s="1" t="s">
        <v>344</v>
      </c>
      <c r="U96" s="1">
        <v>1</v>
      </c>
      <c r="V96" s="2">
        <v>8</v>
      </c>
    </row>
    <row r="97" spans="20:22" x14ac:dyDescent="0.25">
      <c r="T97" s="1" t="s">
        <v>347</v>
      </c>
      <c r="U97" s="1">
        <v>1</v>
      </c>
      <c r="V97" s="2">
        <v>9</v>
      </c>
    </row>
    <row r="98" spans="20:22" x14ac:dyDescent="0.25">
      <c r="T98" s="1" t="s">
        <v>349</v>
      </c>
      <c r="U98" s="1">
        <v>1</v>
      </c>
      <c r="V98" s="2">
        <v>6</v>
      </c>
    </row>
    <row r="99" spans="20:22" x14ac:dyDescent="0.25">
      <c r="T99" s="1" t="s">
        <v>353</v>
      </c>
      <c r="U99" s="1">
        <v>0</v>
      </c>
      <c r="V99" s="2">
        <v>3</v>
      </c>
    </row>
    <row r="100" spans="20:22" x14ac:dyDescent="0.25">
      <c r="T100" s="1" t="s">
        <v>357</v>
      </c>
      <c r="U100" s="1">
        <v>1</v>
      </c>
      <c r="V100" s="2">
        <v>8</v>
      </c>
    </row>
    <row r="101" spans="20:22" x14ac:dyDescent="0.25">
      <c r="T101" s="1" t="s">
        <v>361</v>
      </c>
      <c r="U101" s="1">
        <v>1</v>
      </c>
      <c r="V101" s="2">
        <v>4</v>
      </c>
    </row>
    <row r="102" spans="20:22" x14ac:dyDescent="0.25">
      <c r="T102" s="1" t="s">
        <v>363</v>
      </c>
      <c r="U102" s="1">
        <v>1</v>
      </c>
      <c r="V102" s="2">
        <v>3</v>
      </c>
    </row>
    <row r="103" spans="20:22" x14ac:dyDescent="0.25">
      <c r="T103" s="1" t="s">
        <v>367</v>
      </c>
      <c r="U103" s="1">
        <v>0</v>
      </c>
      <c r="V103" s="2">
        <v>5</v>
      </c>
    </row>
    <row r="104" spans="20:22" x14ac:dyDescent="0.25">
      <c r="T104" s="1" t="s">
        <v>6</v>
      </c>
      <c r="U104" s="1">
        <v>0</v>
      </c>
      <c r="V104" s="2">
        <v>4</v>
      </c>
    </row>
    <row r="105" spans="20:22" x14ac:dyDescent="0.25">
      <c r="T105" s="1" t="s">
        <v>372</v>
      </c>
      <c r="U105" s="1">
        <v>1</v>
      </c>
      <c r="V105" s="2">
        <v>3</v>
      </c>
    </row>
    <row r="106" spans="20:22" x14ac:dyDescent="0.25">
      <c r="T106" s="1" t="s">
        <v>376</v>
      </c>
      <c r="U106" s="1">
        <v>1</v>
      </c>
      <c r="V106" s="2">
        <v>6</v>
      </c>
    </row>
    <row r="107" spans="20:22" x14ac:dyDescent="0.25">
      <c r="T107" s="1" t="s">
        <v>380</v>
      </c>
      <c r="U107" s="1">
        <v>1</v>
      </c>
      <c r="V107" s="2">
        <v>6</v>
      </c>
    </row>
    <row r="108" spans="20:22" x14ac:dyDescent="0.25">
      <c r="T108" s="1" t="s">
        <v>384</v>
      </c>
      <c r="U108" s="1">
        <v>1</v>
      </c>
      <c r="V108" s="2">
        <v>5</v>
      </c>
    </row>
    <row r="109" spans="20:22" x14ac:dyDescent="0.25">
      <c r="T109" s="1" t="s">
        <v>388</v>
      </c>
      <c r="U109" s="1">
        <v>1</v>
      </c>
      <c r="V109" s="2">
        <v>4</v>
      </c>
    </row>
    <row r="110" spans="20:22" x14ac:dyDescent="0.25">
      <c r="T110" s="1" t="s">
        <v>390</v>
      </c>
      <c r="U110" s="1">
        <v>1</v>
      </c>
      <c r="V110" s="2">
        <v>5</v>
      </c>
    </row>
    <row r="111" spans="20:22" x14ac:dyDescent="0.25">
      <c r="T111" s="1" t="s">
        <v>395</v>
      </c>
      <c r="U111" s="1">
        <v>1</v>
      </c>
      <c r="V111" s="2">
        <v>7</v>
      </c>
    </row>
    <row r="112" spans="20:22" x14ac:dyDescent="0.25">
      <c r="T112" s="1" t="s">
        <v>397</v>
      </c>
      <c r="U112" s="1">
        <v>1</v>
      </c>
      <c r="V112" s="2">
        <v>5</v>
      </c>
    </row>
    <row r="113" spans="20:22" x14ac:dyDescent="0.25">
      <c r="T113" s="1" t="s">
        <v>401</v>
      </c>
      <c r="U113" s="1">
        <v>1</v>
      </c>
      <c r="V113" s="2">
        <v>4</v>
      </c>
    </row>
    <row r="114" spans="20:22" x14ac:dyDescent="0.25">
      <c r="T114" s="1" t="s">
        <v>403</v>
      </c>
      <c r="U114" s="1">
        <v>1</v>
      </c>
      <c r="V114" s="2">
        <v>3</v>
      </c>
    </row>
    <row r="115" spans="20:22" x14ac:dyDescent="0.25">
      <c r="T115" s="1" t="s">
        <v>407</v>
      </c>
      <c r="U115" s="1">
        <v>1</v>
      </c>
      <c r="V115" s="2">
        <v>6</v>
      </c>
    </row>
    <row r="116" spans="20:22" x14ac:dyDescent="0.25">
      <c r="T116" s="1" t="s">
        <v>409</v>
      </c>
      <c r="U116" s="1">
        <v>1</v>
      </c>
      <c r="V116" s="2">
        <v>4</v>
      </c>
    </row>
    <row r="117" spans="20:22" x14ac:dyDescent="0.25">
      <c r="T117" s="1" t="s">
        <v>413</v>
      </c>
      <c r="U117" s="1">
        <v>1</v>
      </c>
      <c r="V117" s="2">
        <v>8</v>
      </c>
    </row>
    <row r="118" spans="20:22" x14ac:dyDescent="0.25">
      <c r="T118" s="1" t="s">
        <v>416</v>
      </c>
      <c r="U118" s="1">
        <v>1</v>
      </c>
      <c r="V118" s="2">
        <v>7</v>
      </c>
    </row>
  </sheetData>
  <phoneticPr fontId="8" type="noConversion"/>
  <conditionalFormatting sqref="F3:G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Risk-table-short</vt:lpstr>
      <vt:lpstr>Risk-Table</vt:lpstr>
      <vt:lpstr>Scoring Table reasoning</vt:lpstr>
      <vt:lpstr>Non-anomaly</vt:lpstr>
      <vt:lpstr>Anomaly score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</dc:creator>
  <cp:lastModifiedBy>Ezra Ella</cp:lastModifiedBy>
  <dcterms:created xsi:type="dcterms:W3CDTF">2025-12-28T20:42:04Z</dcterms:created>
  <dcterms:modified xsi:type="dcterms:W3CDTF">2026-01-08T15:50:56Z</dcterms:modified>
</cp:coreProperties>
</file>